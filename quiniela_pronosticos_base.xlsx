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dd\python\"/>
    </mc:Choice>
  </mc:AlternateContent>
  <xr:revisionPtr revIDLastSave="0" documentId="13_ncr:1_{0A2F2809-CC4B-45CE-8EB4-2B48D4F7D885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Sheet1" sheetId="1" r:id="rId1"/>
    <sheet name="Hoja1" sheetId="2" r:id="rId2"/>
    <sheet name="AP8" sheetId="3" r:id="rId3"/>
    <sheet name="AP16" sheetId="10" r:id="rId4"/>
    <sheet name="AP24" sheetId="5" r:id="rId5"/>
    <sheet name="AP32" sheetId="6" r:id="rId6"/>
    <sheet name="Hoja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6" i="1"/>
  <c r="Y7" i="1"/>
  <c r="Y10" i="1"/>
  <c r="Y11" i="1"/>
  <c r="Y12" i="1"/>
  <c r="Y13" i="1"/>
  <c r="Y14" i="1"/>
  <c r="Y15" i="1"/>
  <c r="Y2" i="1"/>
  <c r="T3" i="6" a="1"/>
  <c r="T3" i="6" s="1"/>
  <c r="T4" i="6" a="1"/>
  <c r="T4" i="6" s="1"/>
  <c r="T5" i="6" a="1"/>
  <c r="T5" i="6" s="1"/>
  <c r="T6" i="6" a="1"/>
  <c r="T6" i="6" s="1"/>
  <c r="T7" i="6" a="1"/>
  <c r="T7" i="6" s="1"/>
  <c r="T8" i="6" a="1"/>
  <c r="T8" i="6" s="1"/>
  <c r="T9" i="6" a="1"/>
  <c r="T9" i="6" s="1"/>
  <c r="T10" i="6" a="1"/>
  <c r="T10" i="6" s="1"/>
  <c r="T11" i="6" a="1"/>
  <c r="T11" i="6" s="1"/>
  <c r="T12" i="6" a="1"/>
  <c r="T12" i="6" s="1"/>
  <c r="T13" i="6" a="1"/>
  <c r="T13" i="6" s="1"/>
  <c r="T14" i="6" a="1"/>
  <c r="T14" i="6" s="1"/>
  <c r="T15" i="6" a="1"/>
  <c r="T15" i="6" s="1"/>
  <c r="T16" i="6" a="1"/>
  <c r="T16" i="6" s="1"/>
  <c r="T17" i="6" a="1"/>
  <c r="T17" i="6" s="1"/>
  <c r="T18" i="6" a="1"/>
  <c r="T18" i="6" s="1"/>
  <c r="T19" i="6" a="1"/>
  <c r="T19" i="6" s="1"/>
  <c r="T20" i="6" a="1"/>
  <c r="T20" i="6" s="1"/>
  <c r="T21" i="6" a="1"/>
  <c r="T21" i="6" s="1"/>
  <c r="T22" i="6" a="1"/>
  <c r="T22" i="6" s="1"/>
  <c r="T23" i="6" a="1"/>
  <c r="T23" i="6" s="1"/>
  <c r="T24" i="6" a="1"/>
  <c r="T24" i="6" s="1"/>
  <c r="T25" i="6" a="1"/>
  <c r="T25" i="6" s="1"/>
  <c r="T26" i="6" a="1"/>
  <c r="T26" i="6" s="1"/>
  <c r="T27" i="6" a="1"/>
  <c r="T27" i="6" s="1"/>
  <c r="T28" i="6" a="1"/>
  <c r="T28" i="6" s="1"/>
  <c r="T29" i="6" a="1"/>
  <c r="T29" i="6" s="1"/>
  <c r="T30" i="6" a="1"/>
  <c r="T30" i="6" s="1"/>
  <c r="T31" i="6" a="1"/>
  <c r="T31" i="6" s="1"/>
  <c r="T32" i="6" a="1"/>
  <c r="T32" i="6" s="1"/>
  <c r="T33" i="6" a="1"/>
  <c r="T33" i="6" s="1"/>
  <c r="T2" i="6" a="1"/>
  <c r="T2" i="6" s="1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53" i="6"/>
  <c r="R39" i="1"/>
  <c r="R40" i="1"/>
  <c r="R41" i="1"/>
  <c r="R42" i="1"/>
  <c r="R43" i="1"/>
  <c r="R44" i="1"/>
  <c r="R45" i="1"/>
  <c r="R46" i="1"/>
  <c r="R47" i="1"/>
  <c r="R48" i="1"/>
  <c r="R49" i="1"/>
  <c r="R50" i="1"/>
  <c r="Q50" i="1"/>
  <c r="Q49" i="1"/>
  <c r="Q48" i="1"/>
  <c r="Q47" i="1"/>
  <c r="Q46" i="1"/>
  <c r="Q45" i="1"/>
  <c r="Q44" i="1"/>
  <c r="Q43" i="1"/>
  <c r="Q42" i="1"/>
  <c r="Q41" i="1"/>
  <c r="Q40" i="1"/>
  <c r="Q39" i="1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B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U32" i="10"/>
  <c r="M15" i="1"/>
  <c r="L15" i="1"/>
  <c r="W15" i="1" s="1"/>
  <c r="K15" i="1"/>
  <c r="V15" i="1" s="1"/>
  <c r="M14" i="1"/>
  <c r="X14" i="1" s="1"/>
  <c r="L14" i="1"/>
  <c r="W14" i="1" s="1"/>
  <c r="K14" i="1"/>
  <c r="V14" i="1" s="1"/>
  <c r="M13" i="1"/>
  <c r="X13" i="1" s="1"/>
  <c r="L13" i="1"/>
  <c r="W13" i="1" s="1"/>
  <c r="K13" i="1"/>
  <c r="M12" i="1"/>
  <c r="X12" i="1" s="1"/>
  <c r="L12" i="1"/>
  <c r="W12" i="1" s="1"/>
  <c r="K12" i="1"/>
  <c r="M11" i="1"/>
  <c r="L11" i="1"/>
  <c r="K11" i="1"/>
  <c r="M10" i="1"/>
  <c r="L10" i="1"/>
  <c r="K10" i="1"/>
  <c r="M9" i="1"/>
  <c r="L9" i="1"/>
  <c r="K9" i="1"/>
  <c r="M8" i="1"/>
  <c r="X8" i="1" s="1"/>
  <c r="L8" i="1"/>
  <c r="W8" i="1" s="1"/>
  <c r="K8" i="1"/>
  <c r="V8" i="1" s="1"/>
  <c r="M7" i="1"/>
  <c r="X7" i="1" s="1"/>
  <c r="L7" i="1"/>
  <c r="W7" i="1" s="1"/>
  <c r="K7" i="1"/>
  <c r="V7" i="1" s="1"/>
  <c r="M6" i="1"/>
  <c r="L6" i="1"/>
  <c r="K6" i="1"/>
  <c r="V6" i="1" s="1"/>
  <c r="M5" i="1"/>
  <c r="X5" i="1" s="1"/>
  <c r="L5" i="1"/>
  <c r="K5" i="1"/>
  <c r="M4" i="1"/>
  <c r="L4" i="1"/>
  <c r="K4" i="1"/>
  <c r="M3" i="1"/>
  <c r="L3" i="1"/>
  <c r="K3" i="1"/>
  <c r="M2" i="1"/>
  <c r="L2" i="1"/>
  <c r="K2" i="1"/>
  <c r="V2" i="1" s="1"/>
  <c r="I46" i="10"/>
  <c r="B37" i="10"/>
  <c r="C37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O46" i="10"/>
  <c r="N46" i="10"/>
  <c r="M46" i="10"/>
  <c r="L46" i="10"/>
  <c r="K46" i="10"/>
  <c r="J46" i="10"/>
  <c r="H46" i="10"/>
  <c r="G46" i="10"/>
  <c r="F46" i="10"/>
  <c r="E46" i="10"/>
  <c r="D46" i="10"/>
  <c r="C46" i="10"/>
  <c r="B46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O21" i="10"/>
  <c r="N21" i="10"/>
  <c r="M21" i="10"/>
  <c r="M28" i="10" s="1"/>
  <c r="L21" i="10"/>
  <c r="K21" i="10"/>
  <c r="J21" i="10"/>
  <c r="I21" i="10"/>
  <c r="H21" i="10"/>
  <c r="G21" i="10"/>
  <c r="F21" i="10"/>
  <c r="E21" i="10"/>
  <c r="D21" i="10"/>
  <c r="D28" i="10" s="1"/>
  <c r="C21" i="10"/>
  <c r="C28" i="10" s="1"/>
  <c r="B21" i="10"/>
  <c r="B28" i="10" s="1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O19" i="10"/>
  <c r="N19" i="10"/>
  <c r="M19" i="10"/>
  <c r="L19" i="10"/>
  <c r="K19" i="10"/>
  <c r="K26" i="10" s="1"/>
  <c r="J19" i="10"/>
  <c r="J26" i="10" s="1"/>
  <c r="I19" i="10"/>
  <c r="H19" i="10"/>
  <c r="G19" i="10"/>
  <c r="G26" i="10" s="1"/>
  <c r="F19" i="10"/>
  <c r="F26" i="10" s="1"/>
  <c r="E19" i="10"/>
  <c r="D19" i="10"/>
  <c r="D26" i="10" s="1"/>
  <c r="C19" i="10"/>
  <c r="C26" i="10" s="1"/>
  <c r="B19" i="10"/>
  <c r="B26" i="10" s="1"/>
  <c r="T17" i="10"/>
  <c r="R17" i="10"/>
  <c r="Q17" i="10"/>
  <c r="P17" i="10"/>
  <c r="AJ16" i="10"/>
  <c r="U16" i="10"/>
  <c r="T16" i="10"/>
  <c r="R16" i="10"/>
  <c r="Q16" i="10"/>
  <c r="P16" i="10"/>
  <c r="AJ15" i="10"/>
  <c r="V15" i="10"/>
  <c r="U15" i="10"/>
  <c r="T15" i="10"/>
  <c r="R15" i="10"/>
  <c r="Q15" i="10"/>
  <c r="P15" i="10"/>
  <c r="AJ14" i="10"/>
  <c r="W14" i="10"/>
  <c r="V14" i="10"/>
  <c r="U14" i="10"/>
  <c r="T14" i="10"/>
  <c r="R14" i="10"/>
  <c r="Q14" i="10"/>
  <c r="P14" i="10"/>
  <c r="AJ13" i="10"/>
  <c r="X13" i="10"/>
  <c r="W13" i="10"/>
  <c r="V13" i="10"/>
  <c r="U13" i="10"/>
  <c r="T13" i="10"/>
  <c r="R13" i="10"/>
  <c r="Q13" i="10"/>
  <c r="P13" i="10"/>
  <c r="AJ12" i="10"/>
  <c r="Y12" i="10"/>
  <c r="X12" i="10"/>
  <c r="W12" i="10"/>
  <c r="V12" i="10"/>
  <c r="U12" i="10"/>
  <c r="T12" i="10"/>
  <c r="R12" i="10"/>
  <c r="Q12" i="10"/>
  <c r="P12" i="10"/>
  <c r="AJ11" i="10"/>
  <c r="Z11" i="10"/>
  <c r="Y11" i="10"/>
  <c r="X11" i="10"/>
  <c r="W11" i="10"/>
  <c r="V11" i="10"/>
  <c r="U11" i="10"/>
  <c r="T11" i="10"/>
  <c r="R11" i="10"/>
  <c r="Q11" i="10"/>
  <c r="P11" i="10"/>
  <c r="AJ10" i="10"/>
  <c r="AA10" i="10"/>
  <c r="Z10" i="10"/>
  <c r="Y10" i="10"/>
  <c r="X10" i="10"/>
  <c r="W10" i="10"/>
  <c r="V10" i="10"/>
  <c r="U10" i="10"/>
  <c r="T10" i="10"/>
  <c r="R10" i="10"/>
  <c r="Q10" i="10"/>
  <c r="P10" i="10"/>
  <c r="AJ9" i="10"/>
  <c r="AB9" i="10"/>
  <c r="AA9" i="10"/>
  <c r="Z9" i="10"/>
  <c r="Y9" i="10"/>
  <c r="X9" i="10"/>
  <c r="W9" i="10"/>
  <c r="V9" i="10"/>
  <c r="U9" i="10"/>
  <c r="T9" i="10"/>
  <c r="R9" i="10"/>
  <c r="Q9" i="10"/>
  <c r="P9" i="10"/>
  <c r="AJ8" i="10"/>
  <c r="AC8" i="10"/>
  <c r="AB8" i="10"/>
  <c r="AA8" i="10"/>
  <c r="Z8" i="10"/>
  <c r="Y8" i="10"/>
  <c r="X8" i="10"/>
  <c r="W8" i="10"/>
  <c r="V8" i="10"/>
  <c r="U8" i="10"/>
  <c r="T8" i="10"/>
  <c r="R8" i="10"/>
  <c r="Q8" i="10"/>
  <c r="P8" i="10"/>
  <c r="AJ7" i="10"/>
  <c r="AD7" i="10"/>
  <c r="AC7" i="10"/>
  <c r="AB7" i="10"/>
  <c r="AA7" i="10"/>
  <c r="Z7" i="10"/>
  <c r="Y7" i="10"/>
  <c r="X7" i="10"/>
  <c r="W7" i="10"/>
  <c r="V7" i="10"/>
  <c r="U7" i="10"/>
  <c r="T7" i="10"/>
  <c r="R7" i="10"/>
  <c r="Q7" i="10"/>
  <c r="P7" i="10"/>
  <c r="AJ6" i="10"/>
  <c r="AE6" i="10"/>
  <c r="AD6" i="10"/>
  <c r="AC6" i="10"/>
  <c r="AB6" i="10"/>
  <c r="AA6" i="10"/>
  <c r="Z6" i="10"/>
  <c r="Y6" i="10"/>
  <c r="X6" i="10"/>
  <c r="W6" i="10"/>
  <c r="V6" i="10"/>
  <c r="U6" i="10"/>
  <c r="T6" i="10"/>
  <c r="R6" i="10"/>
  <c r="Q6" i="10"/>
  <c r="P6" i="10"/>
  <c r="AJ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R5" i="10"/>
  <c r="Q5" i="10"/>
  <c r="P5" i="10"/>
  <c r="AJ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R4" i="10"/>
  <c r="Q4" i="10"/>
  <c r="P4" i="10"/>
  <c r="AJ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R3" i="10"/>
  <c r="Q3" i="10"/>
  <c r="P3" i="10"/>
  <c r="AJ2" i="10"/>
  <c r="AI2" i="10"/>
  <c r="AI19" i="10" s="1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R2" i="10"/>
  <c r="Q2" i="10"/>
  <c r="P2" i="10"/>
  <c r="AJ1" i="10"/>
  <c r="Y8" i="1" l="1"/>
  <c r="E26" i="10"/>
  <c r="L26" i="10"/>
  <c r="E28" i="10"/>
  <c r="G28" i="10"/>
  <c r="N26" i="10"/>
  <c r="F28" i="10"/>
  <c r="K28" i="10"/>
  <c r="T39" i="6"/>
  <c r="T38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G91" i="6" a="1"/>
  <c r="G91" i="6" s="1"/>
  <c r="M90" i="6" a="1"/>
  <c r="M90" i="6" s="1"/>
  <c r="L96" i="6" a="1"/>
  <c r="L96" i="6" s="1"/>
  <c r="D85" i="6"/>
  <c r="F88" i="6" a="1"/>
  <c r="F88" i="6" s="1"/>
  <c r="O85" i="6"/>
  <c r="O99" i="6" a="1"/>
  <c r="O99" i="6" s="1"/>
  <c r="O98" i="6" a="1"/>
  <c r="O98" i="6" s="1"/>
  <c r="N97" i="6" a="1"/>
  <c r="N97" i="6" s="1"/>
  <c r="N96" i="6" a="1"/>
  <c r="N96" i="6" s="1"/>
  <c r="J89" i="6" a="1"/>
  <c r="J89" i="6" s="1"/>
  <c r="M94" i="6" a="1"/>
  <c r="M94" i="6" s="1"/>
  <c r="O91" i="6" a="1"/>
  <c r="O91" i="6" s="1"/>
  <c r="D88" i="6" a="1"/>
  <c r="D88" i="6" s="1"/>
  <c r="N85" i="6"/>
  <c r="M88" i="6" a="1"/>
  <c r="M88" i="6" s="1"/>
  <c r="M93" i="6" a="1"/>
  <c r="M93" i="6" s="1"/>
  <c r="O89" i="6" a="1"/>
  <c r="O89" i="6" s="1"/>
  <c r="M85" i="6"/>
  <c r="L85" i="6"/>
  <c r="K85" i="6"/>
  <c r="J85" i="6"/>
  <c r="K88" i="6" a="1"/>
  <c r="K88" i="6" s="1"/>
  <c r="I92" i="6" a="1"/>
  <c r="I92" i="6" s="1"/>
  <c r="O94" i="6" a="1"/>
  <c r="O94" i="6" s="1"/>
  <c r="H90" i="6" a="1"/>
  <c r="H90" i="6" s="1"/>
  <c r="N95" i="6" a="1"/>
  <c r="N95" i="6" s="1"/>
  <c r="L95" i="6" a="1"/>
  <c r="L95" i="6" s="1"/>
  <c r="H92" i="6" a="1"/>
  <c r="H92" i="6" s="1"/>
  <c r="F90" i="6" a="1"/>
  <c r="F90" i="6" s="1"/>
  <c r="N94" i="6" a="1"/>
  <c r="N94" i="6" s="1"/>
  <c r="L92" i="6" a="1"/>
  <c r="L92" i="6" s="1"/>
  <c r="J88" i="6" a="1"/>
  <c r="J88" i="6" s="1"/>
  <c r="J87" i="6" a="1"/>
  <c r="J87" i="6" s="1"/>
  <c r="J92" i="6" a="1"/>
  <c r="J92" i="6" s="1"/>
  <c r="K92" i="6" a="1"/>
  <c r="K92" i="6" s="1"/>
  <c r="J90" i="6" a="1"/>
  <c r="J90" i="6" s="1"/>
  <c r="N88" i="6" a="1"/>
  <c r="N88" i="6" s="1"/>
  <c r="L90" i="6" a="1"/>
  <c r="L90" i="6" s="1"/>
  <c r="E89" i="6" a="1"/>
  <c r="E89" i="6" s="1"/>
  <c r="F89" i="6" a="1"/>
  <c r="F89" i="6" s="1"/>
  <c r="E85" i="6"/>
  <c r="G89" i="6" a="1"/>
  <c r="G89" i="6" s="1"/>
  <c r="O90" i="6" a="1"/>
  <c r="O90" i="6" s="1"/>
  <c r="I93" i="6" a="1"/>
  <c r="I93" i="6" s="1"/>
  <c r="M96" i="6" a="1"/>
  <c r="M96" i="6" s="1"/>
  <c r="K95" i="6" a="1"/>
  <c r="K95" i="6" s="1"/>
  <c r="I90" i="6" a="1"/>
  <c r="I90" i="6" s="1"/>
  <c r="M95" i="6" a="1"/>
  <c r="M95" i="6" s="1"/>
  <c r="K90" i="6" a="1"/>
  <c r="K90" i="6" s="1"/>
  <c r="O88" i="6" a="1"/>
  <c r="O88" i="6" s="1"/>
  <c r="F85" i="6"/>
  <c r="J93" i="6" a="1"/>
  <c r="J93" i="6" s="1"/>
  <c r="C85" i="6"/>
  <c r="I89" i="6" a="1"/>
  <c r="I89" i="6" s="1"/>
  <c r="K93" i="6" a="1"/>
  <c r="K93" i="6" s="1"/>
  <c r="O96" i="6" a="1"/>
  <c r="O96" i="6" s="1"/>
  <c r="E88" i="6" a="1"/>
  <c r="E88" i="6" s="1"/>
  <c r="I91" i="6" a="1"/>
  <c r="I91" i="6" s="1"/>
  <c r="L93" i="6" a="1"/>
  <c r="L93" i="6" s="1"/>
  <c r="L88" i="6" a="1"/>
  <c r="L88" i="6" s="1"/>
  <c r="I85" i="6"/>
  <c r="H89" i="6" a="1"/>
  <c r="H89" i="6" s="1"/>
  <c r="H91" i="6" a="1"/>
  <c r="H91" i="6" s="1"/>
  <c r="N87" i="6" a="1"/>
  <c r="N87" i="6" s="1"/>
  <c r="K89" i="6" a="1"/>
  <c r="K89" i="6" s="1"/>
  <c r="J91" i="6" a="1"/>
  <c r="J91" i="6" s="1"/>
  <c r="M97" i="6" a="1"/>
  <c r="M97" i="6" s="1"/>
  <c r="H85" i="6"/>
  <c r="K91" i="6" a="1"/>
  <c r="K91" i="6" s="1"/>
  <c r="L91" i="6" a="1"/>
  <c r="L91" i="6" s="1"/>
  <c r="O87" i="6" a="1"/>
  <c r="O87" i="6" s="1"/>
  <c r="M89" i="6" a="1"/>
  <c r="M89" i="6" s="1"/>
  <c r="M91" i="6" a="1"/>
  <c r="M91" i="6" s="1"/>
  <c r="J94" i="6" a="1"/>
  <c r="J94" i="6" s="1"/>
  <c r="N98" i="6" a="1"/>
  <c r="N98" i="6" s="1"/>
  <c r="G85" i="6"/>
  <c r="N93" i="6" a="1"/>
  <c r="N93" i="6" s="1"/>
  <c r="L89" i="6" a="1"/>
  <c r="L89" i="6" s="1"/>
  <c r="G87" i="6" a="1"/>
  <c r="G87" i="6" s="1"/>
  <c r="H88" i="6" a="1"/>
  <c r="H88" i="6" s="1"/>
  <c r="N89" i="6" a="1"/>
  <c r="N89" i="6" s="1"/>
  <c r="N91" i="6" a="1"/>
  <c r="N91" i="6" s="1"/>
  <c r="K94" i="6" a="1"/>
  <c r="K94" i="6" s="1"/>
  <c r="M92" i="6" a="1"/>
  <c r="M92" i="6" s="1"/>
  <c r="N92" i="6" a="1"/>
  <c r="N92" i="6" s="1"/>
  <c r="N90" i="6" a="1"/>
  <c r="N90" i="6" s="1"/>
  <c r="M87" i="6" a="1"/>
  <c r="M87" i="6" s="1"/>
  <c r="E87" i="6" a="1"/>
  <c r="E87" i="6" s="1"/>
  <c r="O97" i="6" a="1"/>
  <c r="O97" i="6" s="1"/>
  <c r="D87" i="6" a="1"/>
  <c r="D87" i="6" s="1"/>
  <c r="L94" i="6" a="1"/>
  <c r="L94" i="6" s="1"/>
  <c r="G90" i="6" a="1"/>
  <c r="G90" i="6" s="1"/>
  <c r="O95" i="6" a="1"/>
  <c r="O95" i="6" s="1"/>
  <c r="O92" i="6" a="1"/>
  <c r="O92" i="6" s="1"/>
  <c r="C87" i="6" a="1"/>
  <c r="C87" i="6" s="1"/>
  <c r="G88" i="6" a="1"/>
  <c r="G88" i="6" s="1"/>
  <c r="O93" i="6" a="1"/>
  <c r="O93" i="6" s="1"/>
  <c r="I87" i="6" a="1"/>
  <c r="I87" i="6" s="1"/>
  <c r="I88" i="6" a="1"/>
  <c r="I88" i="6" s="1"/>
  <c r="F87" i="6" a="1"/>
  <c r="F87" i="6" s="1"/>
  <c r="H87" i="6" a="1"/>
  <c r="H87" i="6" s="1"/>
  <c r="K87" i="6" a="1"/>
  <c r="K87" i="6" s="1"/>
  <c r="L87" i="6" a="1"/>
  <c r="L87" i="6" s="1"/>
  <c r="B85" i="6"/>
  <c r="M26" i="10"/>
  <c r="L28" i="10"/>
  <c r="H26" i="10"/>
  <c r="O27" i="10"/>
  <c r="N28" i="10"/>
  <c r="O28" i="10"/>
  <c r="H28" i="10"/>
  <c r="I28" i="10"/>
  <c r="J28" i="10"/>
  <c r="C27" i="10"/>
  <c r="D27" i="10"/>
  <c r="E27" i="10"/>
  <c r="G27" i="10"/>
  <c r="B27" i="10"/>
  <c r="H27" i="10"/>
  <c r="I27" i="10"/>
  <c r="I26" i="10"/>
  <c r="W6" i="1"/>
  <c r="V13" i="1"/>
  <c r="X6" i="1"/>
  <c r="W2" i="1"/>
  <c r="V9" i="1"/>
  <c r="X15" i="1"/>
  <c r="W9" i="1"/>
  <c r="X10" i="1"/>
  <c r="W4" i="1"/>
  <c r="V11" i="1"/>
  <c r="X4" i="1"/>
  <c r="W11" i="1"/>
  <c r="V5" i="1"/>
  <c r="X11" i="1"/>
  <c r="W5" i="1"/>
  <c r="V12" i="1"/>
  <c r="X9" i="1"/>
  <c r="W3" i="1"/>
  <c r="X3" i="1"/>
  <c r="V4" i="1"/>
  <c r="X2" i="1"/>
  <c r="V3" i="1"/>
  <c r="V10" i="1"/>
  <c r="W10" i="1"/>
  <c r="P3" i="1"/>
  <c r="S12" i="10"/>
  <c r="S9" i="10"/>
  <c r="S16" i="10"/>
  <c r="S15" i="10"/>
  <c r="S8" i="10"/>
  <c r="AH19" i="10"/>
  <c r="S14" i="10"/>
  <c r="O63" i="10"/>
  <c r="G22" i="10"/>
  <c r="B53" i="10"/>
  <c r="AE19" i="10"/>
  <c r="D53" i="10"/>
  <c r="S10" i="10"/>
  <c r="C22" i="10"/>
  <c r="AD19" i="10"/>
  <c r="AF19" i="10"/>
  <c r="S17" i="10"/>
  <c r="M62" i="10"/>
  <c r="AG19" i="10"/>
  <c r="S5" i="10"/>
  <c r="S13" i="10"/>
  <c r="O65" i="10"/>
  <c r="O67" i="10"/>
  <c r="O53" i="10"/>
  <c r="K22" i="10"/>
  <c r="D22" i="10"/>
  <c r="L22" i="10"/>
  <c r="E22" i="10"/>
  <c r="M22" i="10"/>
  <c r="N22" i="10"/>
  <c r="H22" i="10"/>
  <c r="O22" i="10"/>
  <c r="S6" i="10"/>
  <c r="Z19" i="10"/>
  <c r="J57" i="10"/>
  <c r="U19" i="10"/>
  <c r="O64" i="10"/>
  <c r="AA19" i="10"/>
  <c r="C55" i="10"/>
  <c r="AB19" i="10"/>
  <c r="J56" i="10"/>
  <c r="AC19" i="10"/>
  <c r="D56" i="10"/>
  <c r="G58" i="10"/>
  <c r="K55" i="10"/>
  <c r="X19" i="10"/>
  <c r="H59" i="10"/>
  <c r="F22" i="10"/>
  <c r="AN9" i="10"/>
  <c r="J22" i="10"/>
  <c r="S3" i="10"/>
  <c r="S4" i="10"/>
  <c r="H60" i="10"/>
  <c r="M63" i="10"/>
  <c r="E57" i="10"/>
  <c r="C53" i="10"/>
  <c r="I55" i="10"/>
  <c r="M58" i="10"/>
  <c r="AN10" i="10"/>
  <c r="S11" i="10"/>
  <c r="V19" i="10"/>
  <c r="O66" i="10"/>
  <c r="Y19" i="10"/>
  <c r="S7" i="10"/>
  <c r="S2" i="10"/>
  <c r="O26" i="10"/>
  <c r="N61" i="10"/>
  <c r="N55" i="10"/>
  <c r="F57" i="10"/>
  <c r="L55" i="10"/>
  <c r="J55" i="10"/>
  <c r="N63" i="10"/>
  <c r="N62" i="10"/>
  <c r="J27" i="10"/>
  <c r="D55" i="10"/>
  <c r="K56" i="10"/>
  <c r="H58" i="10"/>
  <c r="I60" i="10"/>
  <c r="K27" i="10"/>
  <c r="E55" i="10"/>
  <c r="L56" i="10"/>
  <c r="I58" i="10"/>
  <c r="J60" i="10"/>
  <c r="O62" i="10"/>
  <c r="W19" i="10"/>
  <c r="L27" i="10"/>
  <c r="F55" i="10"/>
  <c r="M56" i="10"/>
  <c r="J58" i="10"/>
  <c r="K60" i="10"/>
  <c r="K63" i="10"/>
  <c r="AN14" i="10"/>
  <c r="AN3" i="10"/>
  <c r="AN4" i="10"/>
  <c r="M27" i="10"/>
  <c r="G55" i="10"/>
  <c r="N56" i="10"/>
  <c r="K58" i="10"/>
  <c r="L60" i="10"/>
  <c r="AN12" i="10"/>
  <c r="B22" i="10"/>
  <c r="N27" i="10"/>
  <c r="H55" i="10"/>
  <c r="O56" i="10"/>
  <c r="L58" i="10"/>
  <c r="M60" i="10"/>
  <c r="L63" i="10"/>
  <c r="N60" i="10"/>
  <c r="O58" i="10"/>
  <c r="F53" i="10"/>
  <c r="M55" i="10"/>
  <c r="L64" i="10"/>
  <c r="H53" i="10"/>
  <c r="M64" i="10"/>
  <c r="I53" i="10"/>
  <c r="L61" i="10"/>
  <c r="AN11" i="10"/>
  <c r="J53" i="10"/>
  <c r="M61" i="10"/>
  <c r="K53" i="10"/>
  <c r="K59" i="10"/>
  <c r="L53" i="10"/>
  <c r="E56" i="10"/>
  <c r="M57" i="10"/>
  <c r="L59" i="10"/>
  <c r="O61" i="10"/>
  <c r="M65" i="10"/>
  <c r="AN13" i="10"/>
  <c r="M53" i="10"/>
  <c r="F56" i="10"/>
  <c r="N57" i="10"/>
  <c r="M59" i="10"/>
  <c r="N65" i="10"/>
  <c r="H57" i="10"/>
  <c r="AN8" i="10"/>
  <c r="I57" i="10"/>
  <c r="K57" i="10"/>
  <c r="L57" i="10"/>
  <c r="N53" i="10"/>
  <c r="G56" i="10"/>
  <c r="O57" i="10"/>
  <c r="N59" i="10"/>
  <c r="J62" i="10"/>
  <c r="I61" i="10"/>
  <c r="G53" i="10"/>
  <c r="J61" i="10"/>
  <c r="K61" i="10"/>
  <c r="I22" i="10"/>
  <c r="I59" i="10"/>
  <c r="J59" i="10"/>
  <c r="AN7" i="10"/>
  <c r="F27" i="10"/>
  <c r="AN1" i="10"/>
  <c r="AN6" i="10"/>
  <c r="H56" i="10"/>
  <c r="O59" i="10"/>
  <c r="K62" i="10"/>
  <c r="N66" i="10"/>
  <c r="N58" i="10"/>
  <c r="O60" i="10"/>
  <c r="G59" i="10"/>
  <c r="O55" i="10"/>
  <c r="N64" i="10"/>
  <c r="I56" i="10"/>
  <c r="F58" i="10"/>
  <c r="L62" i="10"/>
  <c r="E53" i="10"/>
  <c r="G57" i="10"/>
  <c r="AN2" i="10"/>
  <c r="AN5" i="10"/>
  <c r="O37" i="6"/>
  <c r="O44" i="6" s="1"/>
  <c r="N37" i="6"/>
  <c r="N44" i="6" s="1"/>
  <c r="M37" i="6"/>
  <c r="M44" i="6" s="1"/>
  <c r="L37" i="6"/>
  <c r="L44" i="6" s="1"/>
  <c r="K37" i="6"/>
  <c r="K44" i="6" s="1"/>
  <c r="J37" i="6"/>
  <c r="J44" i="6" s="1"/>
  <c r="I37" i="6"/>
  <c r="I44" i="6" s="1"/>
  <c r="H37" i="6"/>
  <c r="H44" i="6" s="1"/>
  <c r="G37" i="6"/>
  <c r="G44" i="6" s="1"/>
  <c r="F37" i="6"/>
  <c r="F44" i="6" s="1"/>
  <c r="E37" i="6"/>
  <c r="E44" i="6" s="1"/>
  <c r="D37" i="6"/>
  <c r="D44" i="6" s="1"/>
  <c r="C37" i="6"/>
  <c r="C44" i="6" s="1"/>
  <c r="B37" i="6"/>
  <c r="B44" i="6" s="1"/>
  <c r="O36" i="6"/>
  <c r="O43" i="6" s="1"/>
  <c r="N36" i="6"/>
  <c r="N43" i="6" s="1"/>
  <c r="M36" i="6"/>
  <c r="M43" i="6" s="1"/>
  <c r="L36" i="6"/>
  <c r="L43" i="6" s="1"/>
  <c r="K36" i="6"/>
  <c r="J36" i="6"/>
  <c r="J43" i="6" s="1"/>
  <c r="I36" i="6"/>
  <c r="I43" i="6" s="1"/>
  <c r="H36" i="6"/>
  <c r="H43" i="6" s="1"/>
  <c r="G36" i="6"/>
  <c r="G43" i="6" s="1"/>
  <c r="F36" i="6"/>
  <c r="F43" i="6" s="1"/>
  <c r="E36" i="6"/>
  <c r="E43" i="6" s="1"/>
  <c r="D36" i="6"/>
  <c r="D43" i="6" s="1"/>
  <c r="C36" i="6"/>
  <c r="C43" i="6" s="1"/>
  <c r="B36" i="6"/>
  <c r="B43" i="6" s="1"/>
  <c r="O35" i="6"/>
  <c r="N35" i="6"/>
  <c r="M35" i="6"/>
  <c r="L35" i="6"/>
  <c r="K35" i="6"/>
  <c r="K42" i="6" s="1"/>
  <c r="J35" i="6"/>
  <c r="I35" i="6"/>
  <c r="H35" i="6"/>
  <c r="G35" i="6"/>
  <c r="F35" i="6"/>
  <c r="E35" i="6"/>
  <c r="E42" i="6" s="1"/>
  <c r="D35" i="6"/>
  <c r="C35" i="6"/>
  <c r="C42" i="6" s="1"/>
  <c r="B35" i="6"/>
  <c r="B42" i="6" s="1"/>
  <c r="R33" i="6"/>
  <c r="Q33" i="6"/>
  <c r="P33" i="6"/>
  <c r="U32" i="6"/>
  <c r="R32" i="6"/>
  <c r="Q32" i="6"/>
  <c r="P32" i="6"/>
  <c r="V31" i="6"/>
  <c r="U31" i="6"/>
  <c r="R31" i="6"/>
  <c r="Q31" i="6"/>
  <c r="P31" i="6"/>
  <c r="W30" i="6"/>
  <c r="V30" i="6"/>
  <c r="U30" i="6"/>
  <c r="R30" i="6"/>
  <c r="Q30" i="6"/>
  <c r="P30" i="6"/>
  <c r="X29" i="6"/>
  <c r="W29" i="6"/>
  <c r="V29" i="6"/>
  <c r="U29" i="6"/>
  <c r="R29" i="6"/>
  <c r="Q29" i="6"/>
  <c r="P29" i="6"/>
  <c r="Y28" i="6"/>
  <c r="X28" i="6"/>
  <c r="W28" i="6"/>
  <c r="V28" i="6"/>
  <c r="U28" i="6"/>
  <c r="R28" i="6"/>
  <c r="Q28" i="6"/>
  <c r="P28" i="6"/>
  <c r="Z27" i="6"/>
  <c r="Y27" i="6"/>
  <c r="X27" i="6"/>
  <c r="W27" i="6"/>
  <c r="V27" i="6"/>
  <c r="U27" i="6"/>
  <c r="R27" i="6"/>
  <c r="Q27" i="6"/>
  <c r="P27" i="6"/>
  <c r="AA26" i="6"/>
  <c r="Z26" i="6"/>
  <c r="Y26" i="6"/>
  <c r="X26" i="6"/>
  <c r="W26" i="6"/>
  <c r="V26" i="6"/>
  <c r="U26" i="6"/>
  <c r="R26" i="6"/>
  <c r="Q26" i="6"/>
  <c r="P26" i="6"/>
  <c r="AB25" i="6"/>
  <c r="AA25" i="6"/>
  <c r="Z25" i="6"/>
  <c r="Y25" i="6"/>
  <c r="X25" i="6"/>
  <c r="W25" i="6"/>
  <c r="V25" i="6"/>
  <c r="U25" i="6"/>
  <c r="R25" i="6"/>
  <c r="Q25" i="6"/>
  <c r="P25" i="6"/>
  <c r="AC24" i="6"/>
  <c r="AB24" i="6"/>
  <c r="AA24" i="6"/>
  <c r="Z24" i="6"/>
  <c r="Y24" i="6"/>
  <c r="X24" i="6"/>
  <c r="W24" i="6"/>
  <c r="V24" i="6"/>
  <c r="U24" i="6"/>
  <c r="R24" i="6"/>
  <c r="Q24" i="6"/>
  <c r="P24" i="6"/>
  <c r="AD23" i="6"/>
  <c r="AC23" i="6"/>
  <c r="AB23" i="6"/>
  <c r="AA23" i="6"/>
  <c r="Z23" i="6"/>
  <c r="Y23" i="6"/>
  <c r="X23" i="6"/>
  <c r="W23" i="6"/>
  <c r="V23" i="6"/>
  <c r="U23" i="6"/>
  <c r="R23" i="6"/>
  <c r="Q23" i="6"/>
  <c r="P23" i="6"/>
  <c r="AE22" i="6"/>
  <c r="AD22" i="6"/>
  <c r="AC22" i="6"/>
  <c r="AB22" i="6"/>
  <c r="AA22" i="6"/>
  <c r="Z22" i="6"/>
  <c r="Y22" i="6"/>
  <c r="X22" i="6"/>
  <c r="W22" i="6"/>
  <c r="V22" i="6"/>
  <c r="U22" i="6"/>
  <c r="R22" i="6"/>
  <c r="Q22" i="6"/>
  <c r="P22" i="6"/>
  <c r="AF21" i="6"/>
  <c r="AE21" i="6"/>
  <c r="AD21" i="6"/>
  <c r="AC21" i="6"/>
  <c r="AB21" i="6"/>
  <c r="AA21" i="6"/>
  <c r="Z21" i="6"/>
  <c r="Y21" i="6"/>
  <c r="X21" i="6"/>
  <c r="W21" i="6"/>
  <c r="V21" i="6"/>
  <c r="U21" i="6"/>
  <c r="R21" i="6"/>
  <c r="Q21" i="6"/>
  <c r="P21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R20" i="6"/>
  <c r="Q20" i="6"/>
  <c r="P20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R19" i="6"/>
  <c r="Q19" i="6"/>
  <c r="P19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R18" i="6"/>
  <c r="Q18" i="6"/>
  <c r="P18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R17" i="6"/>
  <c r="Q17" i="6"/>
  <c r="P17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R16" i="6"/>
  <c r="Q16" i="6"/>
  <c r="P16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R15" i="6"/>
  <c r="Q15" i="6"/>
  <c r="P15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R14" i="6"/>
  <c r="Q14" i="6"/>
  <c r="P14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R13" i="6"/>
  <c r="Q13" i="6"/>
  <c r="P13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R12" i="6"/>
  <c r="Q12" i="6"/>
  <c r="P12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R11" i="6"/>
  <c r="Q11" i="6"/>
  <c r="P11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R10" i="6"/>
  <c r="Q10" i="6"/>
  <c r="P10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R9" i="6"/>
  <c r="Q9" i="6"/>
  <c r="P9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R8" i="6"/>
  <c r="Q8" i="6"/>
  <c r="P8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R7" i="6"/>
  <c r="Q7" i="6"/>
  <c r="P7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R6" i="6"/>
  <c r="Q6" i="6"/>
  <c r="P6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R5" i="6"/>
  <c r="Q5" i="6"/>
  <c r="P5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R4" i="6"/>
  <c r="Q4" i="6"/>
  <c r="P4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R3" i="6"/>
  <c r="Q3" i="6"/>
  <c r="P3" i="6"/>
  <c r="AY2" i="6"/>
  <c r="AY35" i="6" s="1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R2" i="6"/>
  <c r="Q2" i="6"/>
  <c r="P2" i="6"/>
  <c r="I35" i="5"/>
  <c r="G35" i="5"/>
  <c r="F35" i="5"/>
  <c r="E35" i="5"/>
  <c r="D35" i="5"/>
  <c r="B35" i="5"/>
  <c r="O34" i="5"/>
  <c r="C34" i="5"/>
  <c r="O28" i="5"/>
  <c r="O35" i="5" s="1"/>
  <c r="N28" i="5"/>
  <c r="N35" i="5" s="1"/>
  <c r="M28" i="5"/>
  <c r="M35" i="5" s="1"/>
  <c r="L28" i="5"/>
  <c r="L35" i="5" s="1"/>
  <c r="K28" i="5"/>
  <c r="K35" i="5" s="1"/>
  <c r="J28" i="5"/>
  <c r="J35" i="5" s="1"/>
  <c r="I28" i="5"/>
  <c r="H28" i="5"/>
  <c r="H35" i="5" s="1"/>
  <c r="G28" i="5"/>
  <c r="F28" i="5"/>
  <c r="E28" i="5"/>
  <c r="D28" i="5"/>
  <c r="C28" i="5"/>
  <c r="C35" i="5" s="1"/>
  <c r="B28" i="5"/>
  <c r="O27" i="5"/>
  <c r="N27" i="5"/>
  <c r="N34" i="5" s="1"/>
  <c r="M27" i="5"/>
  <c r="M34" i="5" s="1"/>
  <c r="L27" i="5"/>
  <c r="L34" i="5" s="1"/>
  <c r="K27" i="5"/>
  <c r="K34" i="5" s="1"/>
  <c r="J27" i="5"/>
  <c r="J34" i="5" s="1"/>
  <c r="I27" i="5"/>
  <c r="I34" i="5" s="1"/>
  <c r="H27" i="5"/>
  <c r="H34" i="5" s="1"/>
  <c r="G27" i="5"/>
  <c r="G34" i="5" s="1"/>
  <c r="F27" i="5"/>
  <c r="F34" i="5" s="1"/>
  <c r="E27" i="5"/>
  <c r="E34" i="5" s="1"/>
  <c r="D27" i="5"/>
  <c r="D34" i="5" s="1"/>
  <c r="C27" i="5"/>
  <c r="B27" i="5"/>
  <c r="B34" i="5" s="1"/>
  <c r="O26" i="5"/>
  <c r="N26" i="5"/>
  <c r="M26" i="5"/>
  <c r="M33" i="5" s="1"/>
  <c r="L26" i="5"/>
  <c r="K26" i="5"/>
  <c r="K33" i="5" s="1"/>
  <c r="J26" i="5"/>
  <c r="J33" i="5" s="1"/>
  <c r="I26" i="5"/>
  <c r="I33" i="5" s="1"/>
  <c r="H26" i="5"/>
  <c r="H33" i="5" s="1"/>
  <c r="G26" i="5"/>
  <c r="G33" i="5" s="1"/>
  <c r="F26" i="5"/>
  <c r="E26" i="5"/>
  <c r="E33" i="5" s="1"/>
  <c r="D26" i="5"/>
  <c r="C26" i="5"/>
  <c r="C33" i="5" s="1"/>
  <c r="B26" i="5"/>
  <c r="B33" i="5" s="1"/>
  <c r="R25" i="5"/>
  <c r="Q25" i="5"/>
  <c r="P25" i="5"/>
  <c r="S25" i="5" s="1"/>
  <c r="T24" i="5"/>
  <c r="R24" i="5"/>
  <c r="Q24" i="5"/>
  <c r="P24" i="5"/>
  <c r="S24" i="5" s="1"/>
  <c r="U23" i="5"/>
  <c r="T23" i="5"/>
  <c r="R23" i="5"/>
  <c r="Q23" i="5"/>
  <c r="P23" i="5"/>
  <c r="V22" i="5"/>
  <c r="U22" i="5"/>
  <c r="T22" i="5"/>
  <c r="R22" i="5"/>
  <c r="Q22" i="5"/>
  <c r="P22" i="5"/>
  <c r="S22" i="5" s="1"/>
  <c r="W21" i="5"/>
  <c r="V21" i="5"/>
  <c r="U21" i="5"/>
  <c r="T21" i="5"/>
  <c r="R21" i="5"/>
  <c r="Q21" i="5"/>
  <c r="P21" i="5"/>
  <c r="X20" i="5"/>
  <c r="W20" i="5"/>
  <c r="V20" i="5"/>
  <c r="U20" i="5"/>
  <c r="T20" i="5"/>
  <c r="R20" i="5"/>
  <c r="Q20" i="5"/>
  <c r="S20" i="5" s="1"/>
  <c r="P20" i="5"/>
  <c r="Y19" i="5"/>
  <c r="X19" i="5"/>
  <c r="W19" i="5"/>
  <c r="V19" i="5"/>
  <c r="U19" i="5"/>
  <c r="T19" i="5"/>
  <c r="R19" i="5"/>
  <c r="Q19" i="5"/>
  <c r="P19" i="5"/>
  <c r="S19" i="5" s="1"/>
  <c r="Z18" i="5"/>
  <c r="Y18" i="5"/>
  <c r="X18" i="5"/>
  <c r="W18" i="5"/>
  <c r="V18" i="5"/>
  <c r="U18" i="5"/>
  <c r="T18" i="5"/>
  <c r="R18" i="5"/>
  <c r="S18" i="5" s="1"/>
  <c r="Q18" i="5"/>
  <c r="P18" i="5"/>
  <c r="AA17" i="5"/>
  <c r="Z17" i="5"/>
  <c r="Y17" i="5"/>
  <c r="X17" i="5"/>
  <c r="W17" i="5"/>
  <c r="V17" i="5"/>
  <c r="U17" i="5"/>
  <c r="T17" i="5"/>
  <c r="R17" i="5"/>
  <c r="Q17" i="5"/>
  <c r="P17" i="5"/>
  <c r="S17" i="5" s="1"/>
  <c r="AB16" i="5"/>
  <c r="AA16" i="5"/>
  <c r="Z16" i="5"/>
  <c r="Y16" i="5"/>
  <c r="X16" i="5"/>
  <c r="W16" i="5"/>
  <c r="V16" i="5"/>
  <c r="U16" i="5"/>
  <c r="T16" i="5"/>
  <c r="R16" i="5"/>
  <c r="Q16" i="5"/>
  <c r="P16" i="5"/>
  <c r="S16" i="5" s="1"/>
  <c r="AC15" i="5"/>
  <c r="AB15" i="5"/>
  <c r="AA15" i="5"/>
  <c r="Z15" i="5"/>
  <c r="Y15" i="5"/>
  <c r="X15" i="5"/>
  <c r="W15" i="5"/>
  <c r="V15" i="5"/>
  <c r="U15" i="5"/>
  <c r="T15" i="5"/>
  <c r="R15" i="5"/>
  <c r="Q15" i="5"/>
  <c r="P15" i="5"/>
  <c r="AD14" i="5"/>
  <c r="AC14" i="5"/>
  <c r="AB14" i="5"/>
  <c r="AA14" i="5"/>
  <c r="Z14" i="5"/>
  <c r="Y14" i="5"/>
  <c r="X14" i="5"/>
  <c r="W14" i="5"/>
  <c r="V14" i="5"/>
  <c r="U14" i="5"/>
  <c r="T14" i="5"/>
  <c r="R14" i="5"/>
  <c r="Q14" i="5"/>
  <c r="P14" i="5"/>
  <c r="S14" i="5" s="1"/>
  <c r="AE13" i="5"/>
  <c r="AD13" i="5"/>
  <c r="AC13" i="5"/>
  <c r="AB13" i="5"/>
  <c r="AA13" i="5"/>
  <c r="Z13" i="5"/>
  <c r="Y13" i="5"/>
  <c r="X13" i="5"/>
  <c r="W13" i="5"/>
  <c r="V13" i="5"/>
  <c r="U13" i="5"/>
  <c r="T13" i="5"/>
  <c r="R13" i="5"/>
  <c r="Q13" i="5"/>
  <c r="P13" i="5"/>
  <c r="S13" i="5" s="1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R12" i="5"/>
  <c r="Q12" i="5"/>
  <c r="P12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R11" i="5"/>
  <c r="Q11" i="5"/>
  <c r="P11" i="5"/>
  <c r="S11" i="5" s="1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R10" i="5"/>
  <c r="Q10" i="5"/>
  <c r="P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R9" i="5"/>
  <c r="Q9" i="5"/>
  <c r="P9" i="5"/>
  <c r="S9" i="5" s="1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R8" i="5"/>
  <c r="Q8" i="5"/>
  <c r="P8" i="5"/>
  <c r="S8" i="5" s="1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R7" i="5"/>
  <c r="Q7" i="5"/>
  <c r="P7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R6" i="5"/>
  <c r="Q6" i="5"/>
  <c r="P6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R5" i="5"/>
  <c r="Q5" i="5"/>
  <c r="P5" i="5"/>
  <c r="AN4" i="5"/>
  <c r="AM4" i="5"/>
  <c r="AL4" i="5"/>
  <c r="AK4" i="5"/>
  <c r="AJ4" i="5"/>
  <c r="AI4" i="5"/>
  <c r="AH4" i="5"/>
  <c r="AH26" i="5" s="1"/>
  <c r="AG4" i="5"/>
  <c r="AG26" i="5" s="1"/>
  <c r="AF4" i="5"/>
  <c r="AE4" i="5"/>
  <c r="AD4" i="5"/>
  <c r="AD26" i="5" s="1"/>
  <c r="AC4" i="5"/>
  <c r="AB4" i="5"/>
  <c r="AA4" i="5"/>
  <c r="Z4" i="5"/>
  <c r="Y4" i="5"/>
  <c r="X4" i="5"/>
  <c r="W4" i="5"/>
  <c r="V4" i="5"/>
  <c r="U4" i="5"/>
  <c r="T4" i="5"/>
  <c r="R4" i="5"/>
  <c r="Q4" i="5"/>
  <c r="P4" i="5"/>
  <c r="S4" i="5" s="1"/>
  <c r="AO3" i="5"/>
  <c r="AN3" i="5"/>
  <c r="AM3" i="5"/>
  <c r="AM26" i="5" s="1"/>
  <c r="AL3" i="5"/>
  <c r="AL26" i="5" s="1"/>
  <c r="AK3" i="5"/>
  <c r="AK26" i="5" s="1"/>
  <c r="AJ3" i="5"/>
  <c r="AJ26" i="5" s="1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R3" i="5"/>
  <c r="Q3" i="5"/>
  <c r="P3" i="5"/>
  <c r="S3" i="5" s="1"/>
  <c r="AP2" i="5"/>
  <c r="AP26" i="5" s="1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V26" i="5" s="1"/>
  <c r="U2" i="5"/>
  <c r="T2" i="5"/>
  <c r="R2" i="5"/>
  <c r="Q2" i="5"/>
  <c r="P2" i="5"/>
  <c r="H19" i="3"/>
  <c r="G19" i="3"/>
  <c r="F19" i="3"/>
  <c r="E19" i="3"/>
  <c r="D19" i="3"/>
  <c r="C19" i="3"/>
  <c r="B19" i="3"/>
  <c r="O18" i="3"/>
  <c r="N18" i="3"/>
  <c r="E18" i="3"/>
  <c r="D18" i="3"/>
  <c r="B18" i="3"/>
  <c r="O17" i="3"/>
  <c r="M17" i="3"/>
  <c r="K17" i="3"/>
  <c r="J17" i="3"/>
  <c r="I17" i="3"/>
  <c r="H17" i="3"/>
  <c r="O12" i="3"/>
  <c r="O19" i="3" s="1"/>
  <c r="N12" i="3"/>
  <c r="N19" i="3" s="1"/>
  <c r="M12" i="3"/>
  <c r="M19" i="3" s="1"/>
  <c r="L12" i="3"/>
  <c r="L19" i="3" s="1"/>
  <c r="K12" i="3"/>
  <c r="K19" i="3" s="1"/>
  <c r="J12" i="3"/>
  <c r="J19" i="3" s="1"/>
  <c r="I12" i="3"/>
  <c r="I19" i="3" s="1"/>
  <c r="H12" i="3"/>
  <c r="G12" i="3"/>
  <c r="F12" i="3"/>
  <c r="E12" i="3"/>
  <c r="D12" i="3"/>
  <c r="C12" i="3"/>
  <c r="B12" i="3"/>
  <c r="O11" i="3"/>
  <c r="N11" i="3"/>
  <c r="M11" i="3"/>
  <c r="M18" i="3" s="1"/>
  <c r="L11" i="3"/>
  <c r="K11" i="3"/>
  <c r="K18" i="3" s="1"/>
  <c r="J11" i="3"/>
  <c r="J18" i="3" s="1"/>
  <c r="I11" i="3"/>
  <c r="I18" i="3" s="1"/>
  <c r="H11" i="3"/>
  <c r="H18" i="3" s="1"/>
  <c r="G11" i="3"/>
  <c r="G18" i="3" s="1"/>
  <c r="F11" i="3"/>
  <c r="F18" i="3" s="1"/>
  <c r="E11" i="3"/>
  <c r="D11" i="3"/>
  <c r="C11" i="3"/>
  <c r="C18" i="3" s="1"/>
  <c r="B11" i="3"/>
  <c r="O10" i="3"/>
  <c r="N10" i="3"/>
  <c r="N17" i="3" s="1"/>
  <c r="M10" i="3"/>
  <c r="L10" i="3"/>
  <c r="L17" i="3" s="1"/>
  <c r="K10" i="3"/>
  <c r="J10" i="3"/>
  <c r="I10" i="3"/>
  <c r="H10" i="3"/>
  <c r="G10" i="3"/>
  <c r="F10" i="3"/>
  <c r="E10" i="3"/>
  <c r="E13" i="3" s="1"/>
  <c r="D10" i="3"/>
  <c r="D13" i="3" s="1"/>
  <c r="C10" i="3"/>
  <c r="C17" i="3" s="1"/>
  <c r="B10" i="3"/>
  <c r="B17" i="3" s="1"/>
  <c r="R9" i="3"/>
  <c r="Q9" i="3"/>
  <c r="P9" i="3"/>
  <c r="AA8" i="3"/>
  <c r="T8" i="3"/>
  <c r="R8" i="3"/>
  <c r="Q8" i="3"/>
  <c r="P8" i="3"/>
  <c r="AA7" i="3"/>
  <c r="U7" i="3"/>
  <c r="T7" i="3"/>
  <c r="R7" i="3"/>
  <c r="Q7" i="3"/>
  <c r="P7" i="3"/>
  <c r="S7" i="3" s="1"/>
  <c r="AA6" i="3"/>
  <c r="V6" i="3"/>
  <c r="U6" i="3"/>
  <c r="T6" i="3"/>
  <c r="R6" i="3"/>
  <c r="Q6" i="3"/>
  <c r="P6" i="3"/>
  <c r="S6" i="3" s="1"/>
  <c r="AA5" i="3"/>
  <c r="W5" i="3"/>
  <c r="V5" i="3"/>
  <c r="U5" i="3"/>
  <c r="T5" i="3"/>
  <c r="R5" i="3"/>
  <c r="Q5" i="3"/>
  <c r="P5" i="3"/>
  <c r="AA4" i="3"/>
  <c r="X4" i="3"/>
  <c r="W4" i="3"/>
  <c r="V4" i="3"/>
  <c r="U4" i="3"/>
  <c r="T4" i="3"/>
  <c r="R4" i="3"/>
  <c r="Q4" i="3"/>
  <c r="P4" i="3"/>
  <c r="AA3" i="3"/>
  <c r="Y3" i="3"/>
  <c r="X3" i="3"/>
  <c r="W3" i="3"/>
  <c r="V3" i="3"/>
  <c r="U3" i="3"/>
  <c r="T3" i="3"/>
  <c r="R3" i="3"/>
  <c r="Q3" i="3"/>
  <c r="P3" i="3"/>
  <c r="AA2" i="3"/>
  <c r="Z2" i="3"/>
  <c r="Y2" i="3"/>
  <c r="X2" i="3"/>
  <c r="W2" i="3"/>
  <c r="V2" i="3"/>
  <c r="U2" i="3"/>
  <c r="T2" i="3"/>
  <c r="R2" i="3"/>
  <c r="Q2" i="3"/>
  <c r="P2" i="3"/>
  <c r="S2" i="3" s="1"/>
  <c r="AA1" i="3"/>
  <c r="Y9" i="1" l="1"/>
  <c r="Y5" i="1"/>
  <c r="S3" i="6"/>
  <c r="S9" i="6"/>
  <c r="S24" i="6"/>
  <c r="S11" i="6"/>
  <c r="S22" i="6"/>
  <c r="D38" i="6"/>
  <c r="K38" i="6"/>
  <c r="S4" i="6"/>
  <c r="S19" i="6"/>
  <c r="R100" i="6"/>
  <c r="R95" i="6"/>
  <c r="R86" i="6"/>
  <c r="R93" i="6"/>
  <c r="R40" i="6"/>
  <c r="R103" i="6"/>
  <c r="R42" i="6"/>
  <c r="R102" i="6"/>
  <c r="R92" i="6"/>
  <c r="R41" i="6"/>
  <c r="R101" i="6"/>
  <c r="R51" i="6"/>
  <c r="R90" i="6"/>
  <c r="R48" i="6"/>
  <c r="R39" i="6"/>
  <c r="R89" i="6"/>
  <c r="R88" i="6"/>
  <c r="R98" i="6"/>
  <c r="R87" i="6"/>
  <c r="R97" i="6"/>
  <c r="R45" i="6"/>
  <c r="R47" i="6"/>
  <c r="R38" i="6"/>
  <c r="R46" i="6"/>
  <c r="R99" i="6"/>
  <c r="R96" i="6"/>
  <c r="R53" i="6"/>
  <c r="R106" i="6"/>
  <c r="R94" i="6"/>
  <c r="R44" i="6"/>
  <c r="R52" i="6"/>
  <c r="R105" i="6"/>
  <c r="R50" i="6"/>
  <c r="R43" i="6"/>
  <c r="R91" i="6"/>
  <c r="R104" i="6"/>
  <c r="R49" i="6"/>
  <c r="G38" i="6"/>
  <c r="D42" i="6"/>
  <c r="AJ35" i="6"/>
  <c r="H38" i="6"/>
  <c r="C38" i="6"/>
  <c r="S5" i="6"/>
  <c r="S13" i="6"/>
  <c r="I38" i="6"/>
  <c r="F38" i="6"/>
  <c r="AI35" i="6"/>
  <c r="S2" i="6"/>
  <c r="S7" i="6"/>
  <c r="S26" i="6"/>
  <c r="S31" i="6"/>
  <c r="J38" i="6"/>
  <c r="S10" i="6"/>
  <c r="S15" i="6"/>
  <c r="S18" i="6"/>
  <c r="S16" i="6"/>
  <c r="S32" i="6"/>
  <c r="S17" i="6"/>
  <c r="S33" i="6"/>
  <c r="P28" i="10"/>
  <c r="R23" i="10"/>
  <c r="R24" i="10"/>
  <c r="R25" i="10"/>
  <c r="R26" i="10"/>
  <c r="R27" i="10"/>
  <c r="R28" i="10"/>
  <c r="R29" i="10"/>
  <c r="R30" i="10"/>
  <c r="R31" i="10"/>
  <c r="R32" i="10"/>
  <c r="R22" i="10"/>
  <c r="AJ19" i="10"/>
  <c r="R59" i="10"/>
  <c r="R60" i="10"/>
  <c r="R57" i="10"/>
  <c r="R63" i="10"/>
  <c r="R61" i="10"/>
  <c r="R56" i="10"/>
  <c r="R64" i="10"/>
  <c r="R62" i="10"/>
  <c r="R58" i="10"/>
  <c r="R55" i="10"/>
  <c r="R54" i="10"/>
  <c r="BB10" i="6"/>
  <c r="U35" i="6"/>
  <c r="C29" i="5"/>
  <c r="F29" i="5"/>
  <c r="W35" i="6"/>
  <c r="I13" i="3"/>
  <c r="X35" i="6"/>
  <c r="J42" i="6"/>
  <c r="O38" i="6"/>
  <c r="K13" i="3"/>
  <c r="S5" i="5"/>
  <c r="S12" i="5"/>
  <c r="Z35" i="6"/>
  <c r="AT35" i="6"/>
  <c r="E38" i="6"/>
  <c r="W26" i="5"/>
  <c r="S20" i="6"/>
  <c r="Z26" i="5"/>
  <c r="S28" i="6"/>
  <c r="AA26" i="5"/>
  <c r="G13" i="3"/>
  <c r="L38" i="6"/>
  <c r="AQ35" i="6"/>
  <c r="S14" i="6"/>
  <c r="AR35" i="6"/>
  <c r="S23" i="6"/>
  <c r="N38" i="6"/>
  <c r="J13" i="3"/>
  <c r="AE26" i="5"/>
  <c r="BB7" i="6"/>
  <c r="AS35" i="6"/>
  <c r="S5" i="3"/>
  <c r="AF26" i="5"/>
  <c r="AA35" i="6"/>
  <c r="AU35" i="6"/>
  <c r="S29" i="6"/>
  <c r="S3" i="3"/>
  <c r="M13" i="3"/>
  <c r="S23" i="5"/>
  <c r="AB35" i="6"/>
  <c r="AV35" i="6"/>
  <c r="S8" i="6"/>
  <c r="AK35" i="6"/>
  <c r="S9" i="3"/>
  <c r="Y26" i="5"/>
  <c r="C13" i="3"/>
  <c r="AN35" i="6"/>
  <c r="AO26" i="5"/>
  <c r="D29" i="5"/>
  <c r="AB26" i="5"/>
  <c r="AP35" i="6"/>
  <c r="H42" i="6"/>
  <c r="H13" i="3"/>
  <c r="M38" i="6"/>
  <c r="I42" i="6"/>
  <c r="N13" i="3"/>
  <c r="L29" i="5"/>
  <c r="AC35" i="6"/>
  <c r="AW35" i="6"/>
  <c r="AL35" i="6"/>
  <c r="S8" i="3"/>
  <c r="O13" i="3"/>
  <c r="AD35" i="6"/>
  <c r="AX35" i="6"/>
  <c r="AM35" i="6"/>
  <c r="S25" i="6"/>
  <c r="S27" i="6"/>
  <c r="K43" i="6"/>
  <c r="S2" i="5"/>
  <c r="S6" i="5"/>
  <c r="S7" i="5"/>
  <c r="S10" i="5"/>
  <c r="N29" i="5"/>
  <c r="AE35" i="6"/>
  <c r="S6" i="6"/>
  <c r="AS10" i="5"/>
  <c r="B13" i="3"/>
  <c r="S4" i="3"/>
  <c r="AI26" i="5"/>
  <c r="F13" i="3"/>
  <c r="L13" i="3"/>
  <c r="D17" i="3"/>
  <c r="U26" i="5"/>
  <c r="B29" i="5"/>
  <c r="AO35" i="6"/>
  <c r="F42" i="6"/>
  <c r="V35" i="6"/>
  <c r="O29" i="5"/>
  <c r="AF35" i="6"/>
  <c r="S15" i="5"/>
  <c r="AG35" i="6"/>
  <c r="AS2" i="5"/>
  <c r="AN26" i="5"/>
  <c r="AC26" i="5"/>
  <c r="S21" i="5"/>
  <c r="AH35" i="6"/>
  <c r="S12" i="6"/>
  <c r="S21" i="6"/>
  <c r="S30" i="6"/>
  <c r="B38" i="6"/>
  <c r="G42" i="6"/>
  <c r="BB14" i="6"/>
  <c r="Y35" i="6"/>
  <c r="L42" i="6"/>
  <c r="BB5" i="6"/>
  <c r="M42" i="6"/>
  <c r="BB8" i="6"/>
  <c r="BB2" i="6"/>
  <c r="N42" i="6"/>
  <c r="BB1" i="6"/>
  <c r="BB9" i="6"/>
  <c r="O42" i="6"/>
  <c r="BB11" i="6"/>
  <c r="BB12" i="6"/>
  <c r="BB4" i="6"/>
  <c r="BB3" i="6"/>
  <c r="BB13" i="6"/>
  <c r="BB6" i="6"/>
  <c r="BB15" i="6"/>
  <c r="H29" i="5"/>
  <c r="N33" i="5"/>
  <c r="AS1" i="5"/>
  <c r="I29" i="5"/>
  <c r="O33" i="5"/>
  <c r="AS4" i="5"/>
  <c r="AS15" i="5"/>
  <c r="T26" i="5"/>
  <c r="J29" i="5"/>
  <c r="D33" i="5"/>
  <c r="F33" i="5"/>
  <c r="AS11" i="5"/>
  <c r="E29" i="5"/>
  <c r="L33" i="5"/>
  <c r="G29" i="5"/>
  <c r="K29" i="5"/>
  <c r="M29" i="5"/>
  <c r="X26" i="5"/>
  <c r="AS6" i="5"/>
  <c r="AS13" i="5"/>
  <c r="AS12" i="5"/>
  <c r="AS5" i="5"/>
  <c r="AS14" i="5"/>
  <c r="AS3" i="5"/>
  <c r="AS9" i="5"/>
  <c r="AS7" i="5"/>
  <c r="AS8" i="5"/>
  <c r="E17" i="3"/>
  <c r="F17" i="3"/>
  <c r="L18" i="3"/>
  <c r="G17" i="3"/>
  <c r="R37" i="6" l="1"/>
  <c r="P44" i="6"/>
  <c r="AZ35" i="6"/>
  <c r="AQ26" i="5"/>
  <c r="Q38" i="1"/>
  <c r="R38" i="1" s="1"/>
  <c r="Q37" i="1"/>
  <c r="R37" i="1" s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U2" i="1"/>
  <c r="U3" i="1"/>
  <c r="U4" i="1"/>
  <c r="W412" i="10" a="1"/>
  <c r="W186" i="10" a="1"/>
  <c r="W311" i="10" a="1"/>
  <c r="W301" i="10" a="1"/>
  <c r="W386" i="10" a="1"/>
  <c r="W96" i="10" a="1"/>
  <c r="W210" i="10" a="1"/>
  <c r="W246" i="10" a="1"/>
  <c r="W273" i="10" a="1"/>
  <c r="W279" i="10" a="1"/>
  <c r="W139" i="10" a="1"/>
  <c r="W143" i="10" a="1"/>
  <c r="W74" i="10" a="1"/>
  <c r="W345" i="10" a="1"/>
  <c r="W288" i="10" a="1"/>
  <c r="W230" i="10" a="1"/>
  <c r="W196" i="10" a="1"/>
  <c r="W103" i="10" a="1"/>
  <c r="W223" i="10" a="1"/>
  <c r="W405" i="10" a="1"/>
  <c r="W140" i="10" a="1"/>
  <c r="W68" i="10" a="1"/>
  <c r="W97" i="10" a="1"/>
  <c r="W263" i="10" a="1"/>
  <c r="W256" i="10" a="1"/>
  <c r="W84" i="10" a="1"/>
  <c r="W403" i="10" a="1"/>
  <c r="W217" i="10" a="1"/>
  <c r="W292" i="10" a="1"/>
  <c r="W164" i="10" a="1"/>
  <c r="W173" i="10" a="1"/>
  <c r="W363" i="10" a="1"/>
  <c r="W418" i="10" a="1"/>
  <c r="W156" i="10" a="1"/>
  <c r="W211" i="10" a="1"/>
  <c r="W308" i="10" a="1"/>
  <c r="W111" i="10" a="1"/>
  <c r="W388" i="10" a="1"/>
  <c r="W378" i="10" a="1"/>
  <c r="W355" i="10" a="1"/>
  <c r="W75" i="10" a="1"/>
  <c r="W215" i="10" a="1"/>
  <c r="W262" i="10" a="1"/>
  <c r="W183" i="10" a="1"/>
  <c r="W409" i="10" a="1"/>
  <c r="W141" i="10" a="1"/>
  <c r="W397" i="10" a="1"/>
  <c r="W102" i="10" a="1"/>
  <c r="W150" i="10" a="1"/>
  <c r="W212" i="10" a="1"/>
  <c r="W324" i="10" a="1"/>
  <c r="W154" i="10" a="1"/>
  <c r="W289" i="10" a="1"/>
  <c r="W194" i="10" a="1"/>
  <c r="W78" i="10" a="1"/>
  <c r="W138" i="10" a="1"/>
  <c r="W229" i="10" a="1"/>
  <c r="W125" i="10" a="1"/>
  <c r="W121" i="10" a="1"/>
  <c r="W356" i="10" a="1"/>
  <c r="W142" i="10" a="1"/>
  <c r="W162" i="10" a="1"/>
  <c r="W359" i="10" a="1"/>
  <c r="W335" i="10" a="1"/>
  <c r="W224" i="10" a="1"/>
  <c r="W163" i="10" a="1"/>
  <c r="W227" i="10" a="1"/>
  <c r="W144" i="10" a="1"/>
  <c r="W67" i="10" a="1"/>
  <c r="W237" i="10" a="1"/>
  <c r="W206" i="10" a="1"/>
  <c r="W58" i="10" a="1"/>
  <c r="W393" i="10" a="1"/>
  <c r="W399" i="10" a="1"/>
  <c r="W367" i="10" a="1"/>
  <c r="W340" i="10" a="1"/>
  <c r="W153" i="10" a="1"/>
  <c r="W413" i="10" a="1"/>
  <c r="W368" i="10" a="1"/>
  <c r="W400" i="10" a="1"/>
  <c r="W60" i="10" a="1"/>
  <c r="W318" i="10" a="1"/>
  <c r="W404" i="10" a="1"/>
  <c r="W417" i="10" a="1"/>
  <c r="W254" i="10" a="1"/>
  <c r="W77" i="10" a="1"/>
  <c r="W351" i="10" a="1"/>
  <c r="W134" i="10" a="1"/>
  <c r="W70" i="10" a="1"/>
  <c r="W415" i="10" a="1"/>
  <c r="W384" i="10" a="1"/>
  <c r="W59" i="10" a="1"/>
  <c r="W157" i="10" a="1"/>
  <c r="W100" i="10" a="1"/>
  <c r="W282" i="10" a="1"/>
  <c r="W166" i="10" a="1"/>
  <c r="W381" i="10" a="1"/>
  <c r="W286" i="10" a="1"/>
  <c r="W87" i="10" a="1"/>
  <c r="W133" i="10" a="1"/>
  <c r="W219" i="10" a="1"/>
  <c r="W259" i="10" a="1"/>
  <c r="W271" i="10" a="1"/>
  <c r="W252" i="10" a="1"/>
  <c r="W257" i="10" a="1"/>
  <c r="W372" i="10" a="1"/>
  <c r="W298" i="10" a="1"/>
  <c r="W199" i="10" a="1"/>
  <c r="W255" i="10" a="1"/>
  <c r="W170" i="10" a="1"/>
  <c r="W231" i="10" a="1"/>
  <c r="W198" i="10" a="1"/>
  <c r="W179" i="10" a="1"/>
  <c r="W98" i="10" a="1"/>
  <c r="W83" i="10" a="1"/>
  <c r="W243" i="10" a="1"/>
  <c r="W244" i="10" a="1"/>
  <c r="W79" i="10" a="1"/>
  <c r="W220" i="10" a="1"/>
  <c r="W151" i="10" a="1"/>
  <c r="W293" i="10" a="1"/>
  <c r="W71" i="10" a="1"/>
  <c r="W201" i="10" a="1"/>
  <c r="W410" i="10" a="1"/>
  <c r="W306" i="10" a="1"/>
  <c r="W373" i="10" a="1"/>
  <c r="W161" i="10" a="1"/>
  <c r="W407" i="10" a="1"/>
  <c r="W189" i="10" a="1"/>
  <c r="W62" i="10" a="1"/>
  <c r="W241" i="10" a="1"/>
  <c r="W287" i="10" a="1"/>
  <c r="W209" i="10" a="1"/>
  <c r="W228" i="10" a="1"/>
  <c r="W226" i="10" a="1"/>
  <c r="W131" i="10" a="1"/>
  <c r="W214" i="10" a="1"/>
  <c r="W187" i="10" a="1"/>
  <c r="W64" i="10" a="1"/>
  <c r="W192" i="10" a="1"/>
  <c r="W233" i="10" a="1"/>
  <c r="W396" i="10" a="1"/>
  <c r="W304" i="10" a="1"/>
  <c r="W385" i="10" a="1"/>
  <c r="W390" i="10" a="1"/>
  <c r="W110" i="10" a="1"/>
  <c r="W323" i="10" a="1"/>
  <c r="W253" i="10" a="1"/>
  <c r="W221" i="10" a="1"/>
  <c r="W225" i="10" a="1"/>
  <c r="W321" i="10" a="1"/>
  <c r="W124" i="10" a="1"/>
  <c r="W290" i="10" a="1"/>
  <c r="W76" i="10" a="1"/>
  <c r="W177" i="10" a="1"/>
  <c r="W80" i="10" a="1"/>
  <c r="W307" i="10" a="1"/>
  <c r="W56" i="10" a="1"/>
  <c r="W91" i="10" a="1"/>
  <c r="W299" i="10" a="1"/>
  <c r="W270" i="10" a="1"/>
  <c r="W352" i="10" a="1"/>
  <c r="W245" i="10" a="1"/>
  <c r="W116" i="10" a="1"/>
  <c r="W105" i="10" a="1"/>
  <c r="W297" i="10" a="1"/>
  <c r="W191" i="10" a="1"/>
  <c r="W354" i="10" a="1"/>
  <c r="W276" i="10" a="1"/>
  <c r="W94" i="10" a="1"/>
  <c r="W349" i="10" a="1"/>
  <c r="W305" i="10" a="1"/>
  <c r="W238" i="10" a="1"/>
  <c r="W261" i="10" a="1"/>
  <c r="W239" i="10" a="1"/>
  <c r="W341" i="10" a="1"/>
  <c r="W240" i="10" a="1"/>
  <c r="W195" i="10" a="1"/>
  <c r="W414" i="10" a="1"/>
  <c r="W132" i="10" a="1"/>
  <c r="W193" i="10" a="1"/>
  <c r="W82" i="10" a="1"/>
  <c r="W72" i="10" a="1"/>
  <c r="W158" i="10" a="1"/>
  <c r="W369" i="10" a="1"/>
  <c r="W284" i="10" a="1"/>
  <c r="W208" i="10" a="1"/>
  <c r="W145" i="10" a="1"/>
  <c r="W247" i="10" a="1"/>
  <c r="W326" i="10" a="1"/>
  <c r="W277" i="10" a="1"/>
  <c r="W319" i="10" a="1"/>
  <c r="Y55" i="10" a="1"/>
  <c r="W344" i="10" a="1"/>
  <c r="W104" i="10" a="1"/>
  <c r="W101" i="10" a="1"/>
  <c r="W353" i="10" a="1"/>
  <c r="W92" i="10" a="1"/>
  <c r="W57" i="10" a="1"/>
  <c r="W107" i="10" a="1"/>
  <c r="W315" i="10" a="1"/>
  <c r="W112" i="10" a="1"/>
  <c r="W267" i="10" a="1"/>
  <c r="W152" i="10" a="1"/>
  <c r="W234" i="10" a="1"/>
  <c r="W360" i="10" a="1"/>
  <c r="W106" i="10" a="1"/>
  <c r="W188" i="10" a="1"/>
  <c r="W357" i="10" a="1"/>
  <c r="W222" i="10" a="1"/>
  <c r="W119" i="10" a="1"/>
  <c r="W127" i="10" a="1"/>
  <c r="W272" i="10" a="1"/>
  <c r="W251" i="10" a="1"/>
  <c r="W85" i="10" a="1"/>
  <c r="W343" i="10" a="1"/>
  <c r="W269" i="10" a="1"/>
  <c r="W122" i="10" a="1"/>
  <c r="W364" i="10" a="1"/>
  <c r="W126" i="10" a="1"/>
  <c r="W146" i="10" a="1"/>
  <c r="W358" i="10" a="1"/>
  <c r="W327" i="10" a="1"/>
  <c r="W108" i="10" a="1"/>
  <c r="W258" i="10" a="1"/>
  <c r="W66" i="10" a="1"/>
  <c r="W365" i="10" a="1"/>
  <c r="W182" i="10" a="1"/>
  <c r="W348" i="10" a="1"/>
  <c r="W296" i="10" a="1"/>
  <c r="W99" i="10" a="1"/>
  <c r="W333" i="10" a="1"/>
  <c r="W248" i="10" a="1"/>
  <c r="W379" i="10" a="1"/>
  <c r="W283" i="10" a="1"/>
  <c r="W317" i="10" a="1"/>
  <c r="W236" i="10" a="1"/>
  <c r="W114" i="10" a="1"/>
  <c r="W63" i="10" a="1"/>
  <c r="W202" i="10" a="1"/>
  <c r="W366" i="10" a="1"/>
  <c r="W322" i="10" a="1"/>
  <c r="W89" i="10" a="1"/>
  <c r="W81" i="10" a="1"/>
  <c r="W160" i="10" a="1"/>
  <c r="W401" i="10" a="1"/>
  <c r="W113" i="10" a="1"/>
  <c r="W264" i="10" a="1"/>
  <c r="W174" i="10" a="1"/>
  <c r="W380" i="10" a="1"/>
  <c r="W302" i="10" a="1"/>
  <c r="W205" i="10" a="1"/>
  <c r="W265" i="10" a="1"/>
  <c r="W310" i="10" a="1"/>
  <c r="W392" i="10" a="1"/>
  <c r="W332" i="10" a="1"/>
  <c r="W285" i="10" a="1"/>
  <c r="W334" i="10" a="1"/>
  <c r="W204" i="10" a="1"/>
  <c r="W73" i="10" a="1"/>
  <c r="W55" i="10" a="1"/>
  <c r="W328" i="10" a="1"/>
  <c r="W148" i="10" a="1"/>
  <c r="W375" i="10" a="1"/>
  <c r="W330" i="10" a="1"/>
  <c r="W120" i="10" a="1"/>
  <c r="W346" i="10" a="1"/>
  <c r="W294" i="10" a="1"/>
  <c r="W172" i="10" a="1"/>
  <c r="W389" i="10" a="1"/>
  <c r="W129" i="10" a="1"/>
  <c r="W361" i="10" a="1"/>
  <c r="W274" i="10" a="1"/>
  <c r="W250" i="10" a="1"/>
  <c r="W168" i="10" a="1"/>
  <c r="W300" i="10" a="1"/>
  <c r="W65" i="10" a="1"/>
  <c r="W197" i="10" a="1"/>
  <c r="W329" i="10" a="1"/>
  <c r="W136" i="10" a="1"/>
  <c r="W185" i="10" a="1"/>
  <c r="W406" i="10" a="1"/>
  <c r="W88" i="10" a="1"/>
  <c r="W213" i="10" a="1"/>
  <c r="W242" i="10" a="1"/>
  <c r="W155" i="10" a="1"/>
  <c r="W123" i="10" a="1"/>
  <c r="W118" i="10" a="1"/>
  <c r="W316" i="10" a="1"/>
  <c r="W408" i="10" a="1"/>
  <c r="W374" i="10" a="1"/>
  <c r="W93" i="10" a="1"/>
  <c r="W61" i="10" a="1"/>
  <c r="W137" i="10" a="1"/>
  <c r="W117" i="10" a="1"/>
  <c r="W416" i="10" a="1"/>
  <c r="W180" i="10" a="1"/>
  <c r="W320" i="10" a="1"/>
  <c r="W268" i="10" a="1"/>
  <c r="W275" i="10" a="1"/>
  <c r="W135" i="10" a="1"/>
  <c r="W176" i="10" a="1"/>
  <c r="W235" i="10" a="1"/>
  <c r="W278" i="10" a="1"/>
  <c r="W387" i="10" a="1"/>
  <c r="W95" i="10" a="1"/>
  <c r="W171" i="10" a="1"/>
  <c r="W178" i="10" a="1"/>
  <c r="W69" i="10" a="1"/>
  <c r="W232" i="10" a="1"/>
  <c r="W350" i="10" a="1"/>
  <c r="W336" i="10" a="1"/>
  <c r="W218" i="10" a="1"/>
  <c r="W339" i="10" a="1"/>
  <c r="W200" i="10" a="1"/>
  <c r="W159" i="10" a="1"/>
  <c r="W260" i="10" a="1"/>
  <c r="W313" i="10" a="1"/>
  <c r="W181" i="10" a="1"/>
  <c r="W309" i="10" a="1"/>
  <c r="W167" i="10" a="1"/>
  <c r="W303" i="10" a="1"/>
  <c r="W291" i="10" a="1"/>
  <c r="W149" i="10" a="1"/>
  <c r="W411" i="10" a="1"/>
  <c r="W203" i="10" a="1"/>
  <c r="W382" i="10" a="1"/>
  <c r="W371" i="10" a="1"/>
  <c r="W86" i="10" a="1"/>
  <c r="W395" i="10" a="1"/>
  <c r="W249" i="10" a="1"/>
  <c r="W130" i="10" a="1"/>
  <c r="W190" i="10" a="1"/>
  <c r="W342" i="10" a="1"/>
  <c r="W207" i="10" a="1"/>
  <c r="W394" i="10" a="1"/>
  <c r="W184" i="10" a="1"/>
  <c r="W266" i="10" a="1"/>
  <c r="W383" i="10" a="1"/>
  <c r="W337" i="10" a="1"/>
  <c r="W169" i="10" a="1"/>
  <c r="W109" i="10" a="1"/>
  <c r="W331" i="10" a="1"/>
  <c r="W281" i="10" a="1"/>
  <c r="W165" i="10" a="1"/>
  <c r="W391" i="10" a="1"/>
  <c r="W115" i="10" a="1"/>
  <c r="W216" i="10" a="1"/>
  <c r="W362" i="10" a="1"/>
  <c r="W295" i="10" a="1"/>
  <c r="W402" i="10" a="1"/>
  <c r="W377" i="10" a="1"/>
  <c r="W370" i="10" a="1"/>
  <c r="W128" i="10" a="1"/>
  <c r="W175" i="10" a="1"/>
  <c r="W280" i="10" a="1"/>
  <c r="W376" i="10" a="1"/>
  <c r="W347" i="10" a="1"/>
  <c r="W398" i="10" a="1"/>
  <c r="W314" i="10" a="1"/>
  <c r="W90" i="10" a="1"/>
  <c r="W338" i="10" a="1"/>
  <c r="W325" i="10" a="1"/>
  <c r="W312" i="10" a="1"/>
  <c r="W147" i="10" a="1"/>
  <c r="W412" i="10" l="1"/>
  <c r="W211" i="10"/>
  <c r="W198" i="10"/>
  <c r="W222" i="10"/>
  <c r="W277" i="10"/>
  <c r="W241" i="10"/>
  <c r="W75" i="10"/>
  <c r="W197" i="10"/>
  <c r="W70" i="10"/>
  <c r="W232" i="10"/>
  <c r="W284" i="10"/>
  <c r="W410" i="10"/>
  <c r="W139" i="10"/>
  <c r="W247" i="10"/>
  <c r="W135" i="10"/>
  <c r="W273" i="10"/>
  <c r="W345" i="10"/>
  <c r="W289" i="10"/>
  <c r="W229" i="10"/>
  <c r="W137" i="10"/>
  <c r="W133" i="10"/>
  <c r="W164" i="10"/>
  <c r="W153" i="10"/>
  <c r="W102" i="10"/>
  <c r="W409" i="10"/>
  <c r="W55" i="10"/>
  <c r="W357" i="10"/>
  <c r="W244" i="10"/>
  <c r="W90" i="10"/>
  <c r="W60" i="10"/>
  <c r="W61" i="10"/>
  <c r="W306" i="10"/>
  <c r="W111" i="10"/>
  <c r="W119" i="10"/>
  <c r="W193" i="10"/>
  <c r="W93" i="10"/>
  <c r="W67" i="10"/>
  <c r="W202" i="10"/>
  <c r="W414" i="10"/>
  <c r="W406" i="10"/>
  <c r="W375" i="10"/>
  <c r="W217" i="10"/>
  <c r="W262" i="10"/>
  <c r="W380" i="10"/>
  <c r="W384" i="10"/>
  <c r="W396" i="10"/>
  <c r="W368" i="10"/>
  <c r="W231" i="10"/>
  <c r="W204" i="10"/>
  <c r="W400" i="10"/>
  <c r="W83" i="10"/>
  <c r="W124" i="10"/>
  <c r="W248" i="10"/>
  <c r="W298" i="10"/>
  <c r="W205" i="10"/>
  <c r="W126" i="10"/>
  <c r="W279" i="10"/>
  <c r="W99" i="10"/>
  <c r="W136" i="10"/>
  <c r="W106" i="10"/>
  <c r="W199" i="10"/>
  <c r="W417" i="10"/>
  <c r="W334" i="10"/>
  <c r="W215" i="10"/>
  <c r="W283" i="10"/>
  <c r="W285" i="10"/>
  <c r="W219" i="10"/>
  <c r="W261" i="10"/>
  <c r="W282" i="10"/>
  <c r="Y55" i="10"/>
  <c r="W216" i="10"/>
  <c r="W404" i="10"/>
  <c r="W351" i="10"/>
  <c r="W303" i="10"/>
  <c r="W256" i="10"/>
  <c r="W250" i="10"/>
  <c r="W132" i="10"/>
  <c r="W286" i="10"/>
  <c r="W268" i="10"/>
  <c r="W355" i="10"/>
  <c r="W280" i="10"/>
  <c r="W385" i="10"/>
  <c r="W364" i="10"/>
  <c r="W74" i="10"/>
  <c r="W302" i="10"/>
  <c r="W161" i="10"/>
  <c r="W314" i="10"/>
  <c r="W183" i="10"/>
  <c r="W233" i="10"/>
  <c r="W305" i="10"/>
  <c r="W87" i="10"/>
  <c r="W81" i="10"/>
  <c r="W401" i="10"/>
  <c r="W276" i="10"/>
  <c r="W236" i="10"/>
  <c r="W100" i="10"/>
  <c r="W212" i="10"/>
  <c r="W66" i="10"/>
  <c r="W349" i="10"/>
  <c r="W230" i="10"/>
  <c r="W98" i="10"/>
  <c r="W224" i="10"/>
  <c r="W128" i="10"/>
  <c r="W291" i="10"/>
  <c r="W383" i="10"/>
  <c r="W259" i="10"/>
  <c r="W275" i="10"/>
  <c r="W156" i="10"/>
  <c r="W245" i="10"/>
  <c r="W342" i="10"/>
  <c r="W130" i="10"/>
  <c r="W118" i="10"/>
  <c r="W317" i="10"/>
  <c r="W269" i="10"/>
  <c r="W220" i="10"/>
  <c r="W58" i="10"/>
  <c r="W223" i="10"/>
  <c r="W72" i="10"/>
  <c r="W143" i="10"/>
  <c r="W300" i="10"/>
  <c r="W318" i="10"/>
  <c r="W363" i="10"/>
  <c r="W63" i="10"/>
  <c r="W307" i="10"/>
  <c r="W92" i="10"/>
  <c r="W105" i="10"/>
  <c r="W185" i="10"/>
  <c r="W287" i="10"/>
  <c r="W266" i="10"/>
  <c r="W310" i="10"/>
  <c r="W200" i="10"/>
  <c r="W253" i="10"/>
  <c r="W152" i="10"/>
  <c r="W325" i="10"/>
  <c r="W140" i="10"/>
  <c r="W308" i="10"/>
  <c r="W418" i="10"/>
  <c r="W378" i="10"/>
  <c r="W416" i="10"/>
  <c r="W252" i="10"/>
  <c r="W169" i="10"/>
  <c r="W272" i="10"/>
  <c r="W122" i="10"/>
  <c r="W257" i="10"/>
  <c r="W89" i="10"/>
  <c r="W316" i="10"/>
  <c r="W309" i="10"/>
  <c r="W330" i="10"/>
  <c r="W151" i="10"/>
  <c r="W399" i="10"/>
  <c r="W343" i="10"/>
  <c r="W134" i="10"/>
  <c r="W281" i="10"/>
  <c r="W242" i="10"/>
  <c r="W370" i="10"/>
  <c r="W263" i="10"/>
  <c r="W415" i="10"/>
  <c r="W167" i="10"/>
  <c r="W79" i="10"/>
  <c r="W356" i="10"/>
  <c r="W176" i="10"/>
  <c r="W376" i="10"/>
  <c r="W319" i="10"/>
  <c r="W178" i="10"/>
  <c r="W315" i="10"/>
  <c r="W365" i="10"/>
  <c r="W408" i="10"/>
  <c r="W350" i="10"/>
  <c r="W361" i="10"/>
  <c r="W154" i="10"/>
  <c r="W121" i="10"/>
  <c r="W177" i="10"/>
  <c r="W347" i="10"/>
  <c r="W352" i="10"/>
  <c r="W320" i="10"/>
  <c r="W78" i="10"/>
  <c r="W208" i="10"/>
  <c r="W192" i="10"/>
  <c r="W127" i="10"/>
  <c r="W150" i="10"/>
  <c r="W181" i="10"/>
  <c r="W225" i="10"/>
  <c r="W403" i="10"/>
  <c r="W186" i="10"/>
  <c r="W387" i="10"/>
  <c r="W214" i="10"/>
  <c r="W228" i="10"/>
  <c r="W116" i="10"/>
  <c r="W348" i="10"/>
  <c r="W129" i="10"/>
  <c r="W146" i="10"/>
  <c r="W377" i="10"/>
  <c r="W180" i="10"/>
  <c r="W258" i="10"/>
  <c r="W182" i="10"/>
  <c r="W249" i="10"/>
  <c r="W336" i="10"/>
  <c r="W125" i="10"/>
  <c r="W171" i="10"/>
  <c r="W326" i="10"/>
  <c r="W296" i="10"/>
  <c r="W221" i="10"/>
  <c r="W322" i="10"/>
  <c r="W109" i="10"/>
  <c r="W379" i="10"/>
  <c r="W304" i="10"/>
  <c r="W94" i="10"/>
  <c r="W337" i="10"/>
  <c r="W206" i="10"/>
  <c r="W97" i="10"/>
  <c r="W147" i="10"/>
  <c r="W123" i="10"/>
  <c r="W141" i="10"/>
  <c r="W84" i="10"/>
  <c r="W210" i="10"/>
  <c r="W69" i="10"/>
  <c r="W114" i="10"/>
  <c r="W382" i="10"/>
  <c r="W56" i="10"/>
  <c r="W341" i="10"/>
  <c r="W187" i="10"/>
  <c r="W170" i="10"/>
  <c r="W359" i="10"/>
  <c r="W112" i="10"/>
  <c r="W73" i="10"/>
  <c r="W413" i="10"/>
  <c r="W195" i="10"/>
  <c r="W65" i="10"/>
  <c r="W293" i="10"/>
  <c r="W91" i="10"/>
  <c r="W398" i="10"/>
  <c r="W175" i="10"/>
  <c r="W373" i="10"/>
  <c r="W165" i="10"/>
  <c r="W160" i="10"/>
  <c r="W145" i="10"/>
  <c r="W115" i="10"/>
  <c r="W397" i="10"/>
  <c r="W188" i="10"/>
  <c r="W251" i="10"/>
  <c r="W59" i="10"/>
  <c r="W333" i="10"/>
  <c r="W292" i="10"/>
  <c r="W366" i="10"/>
  <c r="W339" i="10"/>
  <c r="W159" i="10"/>
  <c r="W158" i="10"/>
  <c r="W294" i="10"/>
  <c r="W340" i="10"/>
  <c r="W85" i="10"/>
  <c r="W346" i="10"/>
  <c r="W402" i="10"/>
  <c r="W226" i="10"/>
  <c r="W108" i="10"/>
  <c r="W288" i="10"/>
  <c r="W189" i="10"/>
  <c r="W374" i="10"/>
  <c r="W218" i="10"/>
  <c r="W360" i="10"/>
  <c r="W354" i="10"/>
  <c r="W388" i="10"/>
  <c r="W234" i="10"/>
  <c r="W227" i="10"/>
  <c r="W103" i="10"/>
  <c r="W338" i="10"/>
  <c r="W174" i="10"/>
  <c r="W358" i="10"/>
  <c r="W117" i="10"/>
  <c r="W237" i="10"/>
  <c r="W240" i="10"/>
  <c r="W101" i="10"/>
  <c r="W327" i="10"/>
  <c r="W62" i="10"/>
  <c r="W238" i="10"/>
  <c r="W191" i="10"/>
  <c r="W393" i="10"/>
  <c r="W394" i="10"/>
  <c r="W113" i="10"/>
  <c r="W179" i="10"/>
  <c r="W80" i="10"/>
  <c r="W71" i="10"/>
  <c r="W120" i="10"/>
  <c r="W254" i="10"/>
  <c r="W209" i="10"/>
  <c r="W362" i="10"/>
  <c r="W104" i="10"/>
  <c r="W142" i="10"/>
  <c r="W239" i="10"/>
  <c r="W391" i="10"/>
  <c r="W323" i="10"/>
  <c r="W64" i="10"/>
  <c r="W168" i="10"/>
  <c r="W138" i="10"/>
  <c r="W57" i="10"/>
  <c r="W335" i="10"/>
  <c r="W148" i="10"/>
  <c r="W243" i="10"/>
  <c r="W371" i="10"/>
  <c r="W321" i="10"/>
  <c r="W264" i="10"/>
  <c r="W172" i="10"/>
  <c r="W297" i="10"/>
  <c r="W372" i="10"/>
  <c r="W77" i="10"/>
  <c r="W271" i="10"/>
  <c r="W290" i="10"/>
  <c r="W331" i="10"/>
  <c r="W312" i="10"/>
  <c r="W324" i="10"/>
  <c r="W265" i="10"/>
  <c r="W144" i="10"/>
  <c r="W95" i="10"/>
  <c r="W68" i="10"/>
  <c r="W344" i="10"/>
  <c r="W301" i="10"/>
  <c r="W203" i="10"/>
  <c r="W367" i="10"/>
  <c r="W407" i="10"/>
  <c r="W405" i="10"/>
  <c r="W155" i="10"/>
  <c r="W246" i="10"/>
  <c r="W190" i="10"/>
  <c r="W267" i="10"/>
  <c r="W86" i="10"/>
  <c r="W131" i="10"/>
  <c r="W386" i="10"/>
  <c r="W163" i="10"/>
  <c r="W255" i="10"/>
  <c r="W389" i="10"/>
  <c r="W299" i="10"/>
  <c r="W329" i="10"/>
  <c r="W173" i="10"/>
  <c r="W411" i="10"/>
  <c r="W369" i="10"/>
  <c r="W332" i="10"/>
  <c r="W194" i="10"/>
  <c r="W353" i="10"/>
  <c r="W110" i="10"/>
  <c r="W207" i="10"/>
  <c r="W328" i="10"/>
  <c r="W381" i="10"/>
  <c r="W107" i="10"/>
  <c r="W392" i="10"/>
  <c r="W313" i="10"/>
  <c r="W88" i="10"/>
  <c r="W76" i="10"/>
  <c r="W213" i="10"/>
  <c r="W395" i="10"/>
  <c r="W162" i="10"/>
  <c r="W201" i="10"/>
  <c r="W166" i="10"/>
  <c r="W96" i="10"/>
  <c r="W274" i="10"/>
  <c r="W184" i="10"/>
  <c r="W157" i="10"/>
  <c r="W295" i="10"/>
  <c r="W311" i="10"/>
  <c r="W278" i="10"/>
  <c r="W149" i="10"/>
  <c r="W235" i="10"/>
  <c r="W196" i="10"/>
  <c r="W270" i="10"/>
  <c r="W82" i="10"/>
  <c r="W390" i="10"/>
  <c r="W260" i="10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19" i="1"/>
  <c r="U5" i="1"/>
  <c r="U6" i="1"/>
  <c r="U7" i="1"/>
  <c r="U8" i="1"/>
  <c r="U9" i="1"/>
  <c r="U10" i="1"/>
  <c r="U11" i="1"/>
  <c r="U12" i="1"/>
  <c r="U13" i="1"/>
  <c r="U14" i="1"/>
  <c r="U15" i="1"/>
  <c r="P11" i="1"/>
  <c r="L27" i="1"/>
  <c r="L22" i="1"/>
  <c r="O4" i="1"/>
  <c r="N4" i="1"/>
  <c r="AA58" i="10" l="1"/>
  <c r="U25" i="10" s="1"/>
  <c r="AA60" i="10"/>
  <c r="U27" i="10" s="1"/>
  <c r="AA55" i="10"/>
  <c r="U22" i="10" s="1"/>
  <c r="AA62" i="10"/>
  <c r="U29" i="10" s="1"/>
  <c r="AA64" i="10"/>
  <c r="U31" i="10" s="1"/>
  <c r="AA61" i="10"/>
  <c r="U28" i="10" s="1"/>
  <c r="AA63" i="10"/>
  <c r="U30" i="10" s="1"/>
  <c r="AA56" i="10"/>
  <c r="U23" i="10" s="1"/>
  <c r="AA59" i="10"/>
  <c r="U26" i="10" s="1"/>
  <c r="AA57" i="10"/>
  <c r="U24" i="10" s="1"/>
  <c r="N2" i="1"/>
  <c r="N9" i="1"/>
  <c r="L25" i="1"/>
  <c r="N11" i="1"/>
  <c r="L21" i="1"/>
  <c r="L23" i="1"/>
  <c r="O13" i="1"/>
  <c r="N15" i="1"/>
  <c r="P14" i="1"/>
  <c r="P7" i="1"/>
  <c r="O2" i="1"/>
  <c r="L29" i="1"/>
  <c r="O6" i="1"/>
  <c r="P13" i="1"/>
  <c r="N7" i="1"/>
  <c r="O14" i="1"/>
  <c r="O7" i="1"/>
  <c r="P8" i="1"/>
  <c r="P2" i="1"/>
  <c r="N8" i="1"/>
  <c r="N6" i="1"/>
  <c r="L20" i="1"/>
  <c r="O3" i="1"/>
  <c r="P15" i="1"/>
  <c r="O11" i="1"/>
  <c r="P4" i="1"/>
  <c r="N12" i="1"/>
  <c r="P12" i="1"/>
  <c r="O5" i="1"/>
  <c r="P5" i="1"/>
  <c r="N13" i="1"/>
  <c r="N5" i="1"/>
  <c r="N3" i="1"/>
  <c r="P6" i="1"/>
  <c r="O15" i="1"/>
  <c r="P10" i="1"/>
  <c r="O12" i="1"/>
  <c r="L19" i="1"/>
  <c r="L32" i="1"/>
  <c r="O8" i="1"/>
  <c r="L31" i="1"/>
  <c r="L30" i="1"/>
  <c r="N14" i="1"/>
  <c r="L28" i="1"/>
  <c r="L24" i="1"/>
  <c r="L26" i="1"/>
  <c r="O9" i="1"/>
  <c r="P9" i="1"/>
  <c r="N10" i="1"/>
  <c r="O10" i="1"/>
  <c r="Q11" i="1" l="1"/>
  <c r="Q4" i="1"/>
  <c r="Q8" i="1"/>
  <c r="Q14" i="1"/>
  <c r="Q2" i="1"/>
  <c r="Q7" i="1"/>
  <c r="Q13" i="1"/>
  <c r="Q15" i="1"/>
  <c r="Q12" i="1"/>
  <c r="Q6" i="1"/>
  <c r="Q3" i="1"/>
  <c r="Q5" i="1"/>
  <c r="Q9" i="1"/>
  <c r="L18" i="1"/>
  <c r="Q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<sst xmlns="http://schemas.openxmlformats.org/spreadsheetml/2006/main" count="1674" uniqueCount="121">
  <si>
    <t>Partido</t>
  </si>
  <si>
    <t>Q15_1</t>
  </si>
  <si>
    <t>Q15_X</t>
  </si>
  <si>
    <t>Q15_2</t>
  </si>
  <si>
    <t>LAE_1</t>
  </si>
  <si>
    <t>LAE_X</t>
  </si>
  <si>
    <t>LAE_2</t>
  </si>
  <si>
    <t>APU_1</t>
  </si>
  <si>
    <t>APU_X</t>
  </si>
  <si>
    <t>APU_2</t>
  </si>
  <si>
    <t>MEDIA_1</t>
  </si>
  <si>
    <t>MEDIA_X</t>
  </si>
  <si>
    <t>MEDIA_2</t>
  </si>
  <si>
    <t>N_1</t>
  </si>
  <si>
    <t>N_X</t>
  </si>
  <si>
    <t>N_2</t>
  </si>
  <si>
    <t>unos</t>
  </si>
  <si>
    <t>equises</t>
  </si>
  <si>
    <t>doses</t>
  </si>
  <si>
    <t>{'1':</t>
  </si>
  <si>
    <t>, 'X':</t>
  </si>
  <si>
    <t>, '2':</t>
  </si>
  <si>
    <t>},</t>
  </si>
  <si>
    <t>Ap base</t>
  </si>
  <si>
    <t xml:space="preserve"> ['2'</t>
  </si>
  <si>
    <t xml:space="preserve"> ['1'</t>
  </si>
  <si>
    <t xml:space="preserve"> ['X'</t>
  </si>
  <si>
    <t xml:space="preserve"> 'X'</t>
  </si>
  <si>
    <t xml:space="preserve"> '1'</t>
  </si>
  <si>
    <t xml:space="preserve"> '2'</t>
  </si>
  <si>
    <t xml:space="preserve"> '1']</t>
  </si>
  <si>
    <t xml:space="preserve"> '2']</t>
  </si>
  <si>
    <t xml:space="preserve"> 'X']</t>
  </si>
  <si>
    <t>Num1</t>
  </si>
  <si>
    <t>NumX</t>
  </si>
  <si>
    <t>Num2</t>
  </si>
  <si>
    <t>T</t>
  </si>
  <si>
    <t>DC9</t>
  </si>
  <si>
    <t>DC8</t>
  </si>
  <si>
    <t>DC7</t>
  </si>
  <si>
    <t>DC6</t>
  </si>
  <si>
    <t>DC5</t>
  </si>
  <si>
    <t>DC4</t>
  </si>
  <si>
    <t>DC3</t>
  </si>
  <si>
    <t>N1</t>
  </si>
  <si>
    <t>NX</t>
  </si>
  <si>
    <t>N2</t>
  </si>
  <si>
    <t>DC17</t>
  </si>
  <si>
    <t>DC16</t>
  </si>
  <si>
    <t>DC15</t>
  </si>
  <si>
    <t>DC14</t>
  </si>
  <si>
    <t>DC13</t>
  </si>
  <si>
    <t>DC12</t>
  </si>
  <si>
    <t>DC11</t>
  </si>
  <si>
    <t>DC10</t>
  </si>
  <si>
    <t>DC25</t>
  </si>
  <si>
    <t>DC24</t>
  </si>
  <si>
    <t>DC23</t>
  </si>
  <si>
    <t>DC22</t>
  </si>
  <si>
    <t>DC21</t>
  </si>
  <si>
    <t>DC20</t>
  </si>
  <si>
    <t>DC19</t>
  </si>
  <si>
    <t>DC18</t>
  </si>
  <si>
    <t>['X'</t>
  </si>
  <si>
    <t>['1'</t>
  </si>
  <si>
    <t>['2'</t>
  </si>
  <si>
    <t>B</t>
  </si>
  <si>
    <t>ICBase</t>
  </si>
  <si>
    <t>IC16</t>
  </si>
  <si>
    <t>IC15</t>
  </si>
  <si>
    <t>IC14</t>
  </si>
  <si>
    <t>IC13</t>
  </si>
  <si>
    <t>IC12</t>
  </si>
  <si>
    <t>IC11</t>
  </si>
  <si>
    <t>IC10</t>
  </si>
  <si>
    <t>IC9</t>
  </si>
  <si>
    <t>IC8</t>
  </si>
  <si>
    <t>IC7</t>
  </si>
  <si>
    <t>IC6</t>
  </si>
  <si>
    <t>IC5</t>
  </si>
  <si>
    <t>IC4</t>
  </si>
  <si>
    <t>IC3</t>
  </si>
  <si>
    <t>IC2</t>
  </si>
  <si>
    <t>Posiciones distinta a la base</t>
  </si>
  <si>
    <t>Pares</t>
  </si>
  <si>
    <t>1 con</t>
  </si>
  <si>
    <t>2 con</t>
  </si>
  <si>
    <t>3 con</t>
  </si>
  <si>
    <t>4 con</t>
  </si>
  <si>
    <t>5 con</t>
  </si>
  <si>
    <t>6 con</t>
  </si>
  <si>
    <t>7 con</t>
  </si>
  <si>
    <t>8 con</t>
  </si>
  <si>
    <t>9 con</t>
  </si>
  <si>
    <t>10 con</t>
  </si>
  <si>
    <t>11 con</t>
  </si>
  <si>
    <t>12 con</t>
  </si>
  <si>
    <t>13 con</t>
  </si>
  <si>
    <t>Trios</t>
  </si>
  <si>
    <t>X</t>
  </si>
  <si>
    <t>pares</t>
  </si>
  <si>
    <t>trios</t>
  </si>
  <si>
    <t>IC33</t>
  </si>
  <si>
    <t>IC32</t>
  </si>
  <si>
    <t>IC31</t>
  </si>
  <si>
    <t>IC30</t>
  </si>
  <si>
    <t>IC29</t>
  </si>
  <si>
    <t>IC28</t>
  </si>
  <si>
    <t>IC27</t>
  </si>
  <si>
    <t>IC26</t>
  </si>
  <si>
    <t>IC25</t>
  </si>
  <si>
    <t>IC24</t>
  </si>
  <si>
    <t>IC23</t>
  </si>
  <si>
    <t>IC22</t>
  </si>
  <si>
    <t>IC21</t>
  </si>
  <si>
    <t>IC20</t>
  </si>
  <si>
    <t>IC19</t>
  </si>
  <si>
    <t>IC18</t>
  </si>
  <si>
    <t>IC17</t>
  </si>
  <si>
    <t>91pares</t>
  </si>
  <si>
    <t>Comprobar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</si>
</sst>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A0A0A"/>
      <name val="Courier New"/>
      <family val="3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workbookViewId="0">
      <selection activeCell="L18" sqref="L18"/>
    </sheetView>
  </sheetViews>
  <sheetFormatPr baseColWidth="10" defaultColWidth="8.88671875" defaultRowHeight="14.4" x14ac:dyDescent="0.3"/>
  <cols>
    <col min="1" max="1" width="15.77734375" customWidth="1"/>
    <col min="11" max="11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>
        <v>32</v>
      </c>
      <c r="R1" t="s">
        <v>16</v>
      </c>
      <c r="S1" t="s">
        <v>17</v>
      </c>
      <c r="T1" t="s">
        <v>18</v>
      </c>
    </row>
    <row r="2" spans="1:25" x14ac:dyDescent="0.3">
      <c r="A2">
        <v>1</v>
      </c>
      <c r="B2">
        <v>50</v>
      </c>
      <c r="C2">
        <v>28</v>
      </c>
      <c r="D2">
        <v>22</v>
      </c>
      <c r="E2">
        <v>50</v>
      </c>
      <c r="F2">
        <v>28</v>
      </c>
      <c r="G2">
        <v>22</v>
      </c>
      <c r="H2">
        <v>52</v>
      </c>
      <c r="I2">
        <v>27</v>
      </c>
      <c r="J2">
        <v>21</v>
      </c>
      <c r="K2">
        <f>AVERAGE(B2,E2,H2)</f>
        <v>50.666666666666664</v>
      </c>
      <c r="L2">
        <f>AVERAGE(C2,F2,I2)</f>
        <v>27.666666666666668</v>
      </c>
      <c r="M2">
        <f>AVERAGE(D2,G2,J2)</f>
        <v>21.666666666666668</v>
      </c>
      <c r="N2">
        <f>ROUND($Q$1*K2/SUM($K2:$M2),0)</f>
        <v>16</v>
      </c>
      <c r="O2">
        <f>ROUND($Q$1*L2/SUM($K2:$M2),0)</f>
        <v>9</v>
      </c>
      <c r="P2">
        <f>ROUND($Q$1*M2/SUM($K2:$M2),0)</f>
        <v>7</v>
      </c>
      <c r="Q2">
        <f t="shared" ref="Q2:Q14" si="0">N2+O2+P2</f>
        <v>32</v>
      </c>
      <c r="R2">
        <v>16</v>
      </c>
      <c r="S2">
        <v>9</v>
      </c>
      <c r="T2">
        <v>7</v>
      </c>
      <c r="U2">
        <f>R2+S2+T2</f>
        <v>32</v>
      </c>
      <c r="V2">
        <f>K2/R2</f>
        <v>3.1666666666666665</v>
      </c>
      <c r="W2">
        <f t="shared" ref="W2:X2" si="1">L2/S2</f>
        <v>3.0740740740740744</v>
      </c>
      <c r="X2">
        <f t="shared" si="1"/>
        <v>3.0952380952380953</v>
      </c>
      <c r="Y2">
        <f>AVERAGE(V2:X2)</f>
        <v>3.1119929453262785</v>
      </c>
    </row>
    <row r="3" spans="1:25" x14ac:dyDescent="0.3">
      <c r="A3">
        <v>2</v>
      </c>
      <c r="B3">
        <v>33</v>
      </c>
      <c r="C3">
        <v>46</v>
      </c>
      <c r="D3">
        <v>21</v>
      </c>
      <c r="E3">
        <v>30</v>
      </c>
      <c r="F3">
        <v>19</v>
      </c>
      <c r="G3">
        <v>51</v>
      </c>
      <c r="H3">
        <v>48</v>
      </c>
      <c r="I3">
        <v>27</v>
      </c>
      <c r="J3">
        <v>24</v>
      </c>
      <c r="K3">
        <f t="shared" ref="K3:M15" si="2">AVERAGE(B3,E3,H3)</f>
        <v>37</v>
      </c>
      <c r="L3">
        <f t="shared" si="2"/>
        <v>30.666666666666668</v>
      </c>
      <c r="M3">
        <f t="shared" si="2"/>
        <v>32</v>
      </c>
      <c r="N3">
        <f t="shared" ref="N3:N15" si="3">ROUND($Q$1*K3/SUM($K3:$M3),0)</f>
        <v>12</v>
      </c>
      <c r="O3">
        <f t="shared" ref="O3:O15" si="4">ROUND($Q$1*L3/SUM($K3:$M3),0)</f>
        <v>10</v>
      </c>
      <c r="P3">
        <f t="shared" ref="P3:P15" si="5">ROUND($Q$1*M3/SUM($K3:$M3),0)</f>
        <v>10</v>
      </c>
      <c r="Q3">
        <f t="shared" si="0"/>
        <v>32</v>
      </c>
      <c r="R3">
        <v>12</v>
      </c>
      <c r="S3">
        <v>10</v>
      </c>
      <c r="T3">
        <v>10</v>
      </c>
      <c r="U3">
        <f t="shared" ref="U3:U15" si="6">R3+S3+T3</f>
        <v>32</v>
      </c>
      <c r="V3">
        <f t="shared" ref="V3:V15" si="7">K3/R3</f>
        <v>3.0833333333333335</v>
      </c>
      <c r="W3">
        <f t="shared" ref="W3:W15" si="8">L3/S3</f>
        <v>3.0666666666666669</v>
      </c>
      <c r="X3">
        <f t="shared" ref="X3:X15" si="9">M3/T3</f>
        <v>3.2</v>
      </c>
      <c r="Y3">
        <f t="shared" ref="Y3:Y15" si="10">AVERAGE(V3:X3)</f>
        <v>3.1166666666666671</v>
      </c>
    </row>
    <row r="4" spans="1:25" x14ac:dyDescent="0.3">
      <c r="A4">
        <v>3</v>
      </c>
      <c r="B4">
        <v>15</v>
      </c>
      <c r="C4">
        <v>39</v>
      </c>
      <c r="D4">
        <v>46</v>
      </c>
      <c r="E4">
        <v>33</v>
      </c>
      <c r="F4">
        <v>23</v>
      </c>
      <c r="G4">
        <v>44</v>
      </c>
      <c r="H4">
        <v>29</v>
      </c>
      <c r="I4">
        <v>31</v>
      </c>
      <c r="J4">
        <v>40</v>
      </c>
      <c r="K4">
        <f t="shared" si="2"/>
        <v>25.666666666666668</v>
      </c>
      <c r="L4">
        <f t="shared" si="2"/>
        <v>31</v>
      </c>
      <c r="M4">
        <f t="shared" si="2"/>
        <v>43.333333333333336</v>
      </c>
      <c r="N4">
        <f t="shared" si="3"/>
        <v>8</v>
      </c>
      <c r="O4">
        <f t="shared" si="4"/>
        <v>10</v>
      </c>
      <c r="P4">
        <f t="shared" si="5"/>
        <v>14</v>
      </c>
      <c r="Q4">
        <f t="shared" si="0"/>
        <v>32</v>
      </c>
      <c r="R4">
        <v>8</v>
      </c>
      <c r="S4">
        <v>10</v>
      </c>
      <c r="T4">
        <v>14</v>
      </c>
      <c r="U4">
        <f t="shared" si="6"/>
        <v>32</v>
      </c>
      <c r="V4">
        <f t="shared" si="7"/>
        <v>3.2083333333333335</v>
      </c>
      <c r="W4">
        <f t="shared" si="8"/>
        <v>3.1</v>
      </c>
      <c r="X4">
        <f t="shared" si="9"/>
        <v>3.0952380952380953</v>
      </c>
      <c r="Y4">
        <f t="shared" si="10"/>
        <v>3.1345238095238095</v>
      </c>
    </row>
    <row r="5" spans="1:25" x14ac:dyDescent="0.3">
      <c r="A5">
        <v>4</v>
      </c>
      <c r="B5">
        <v>63</v>
      </c>
      <c r="C5">
        <v>17</v>
      </c>
      <c r="D5">
        <v>20</v>
      </c>
      <c r="E5">
        <v>48</v>
      </c>
      <c r="F5">
        <v>28</v>
      </c>
      <c r="G5">
        <v>24</v>
      </c>
      <c r="H5">
        <v>81</v>
      </c>
      <c r="I5">
        <v>14</v>
      </c>
      <c r="J5">
        <v>5</v>
      </c>
      <c r="K5">
        <f t="shared" si="2"/>
        <v>64</v>
      </c>
      <c r="L5">
        <f t="shared" si="2"/>
        <v>19.666666666666668</v>
      </c>
      <c r="M5">
        <f t="shared" si="2"/>
        <v>16.333333333333332</v>
      </c>
      <c r="N5">
        <f t="shared" si="3"/>
        <v>20</v>
      </c>
      <c r="O5">
        <f t="shared" si="4"/>
        <v>6</v>
      </c>
      <c r="P5">
        <f t="shared" si="5"/>
        <v>5</v>
      </c>
      <c r="Q5">
        <f t="shared" si="0"/>
        <v>31</v>
      </c>
      <c r="R5">
        <v>20</v>
      </c>
      <c r="S5">
        <v>7</v>
      </c>
      <c r="T5">
        <v>5</v>
      </c>
      <c r="U5">
        <f t="shared" si="6"/>
        <v>32</v>
      </c>
      <c r="V5">
        <f t="shared" si="7"/>
        <v>3.2</v>
      </c>
      <c r="W5">
        <f t="shared" si="8"/>
        <v>2.8095238095238098</v>
      </c>
      <c r="X5">
        <f t="shared" si="9"/>
        <v>3.2666666666666666</v>
      </c>
      <c r="Y5">
        <f t="shared" si="10"/>
        <v>3.0920634920634917</v>
      </c>
    </row>
    <row r="6" spans="1:25" x14ac:dyDescent="0.3">
      <c r="A6">
        <v>5</v>
      </c>
      <c r="B6">
        <v>55</v>
      </c>
      <c r="C6">
        <v>29</v>
      </c>
      <c r="D6">
        <v>16</v>
      </c>
      <c r="E6">
        <v>33</v>
      </c>
      <c r="F6">
        <v>22</v>
      </c>
      <c r="G6">
        <v>45</v>
      </c>
      <c r="H6">
        <v>62</v>
      </c>
      <c r="I6">
        <v>25</v>
      </c>
      <c r="J6">
        <v>13</v>
      </c>
      <c r="K6">
        <f t="shared" si="2"/>
        <v>50</v>
      </c>
      <c r="L6">
        <f t="shared" si="2"/>
        <v>25.333333333333332</v>
      </c>
      <c r="M6">
        <f t="shared" si="2"/>
        <v>24.666666666666668</v>
      </c>
      <c r="N6">
        <f t="shared" si="3"/>
        <v>16</v>
      </c>
      <c r="O6">
        <f t="shared" si="4"/>
        <v>8</v>
      </c>
      <c r="P6">
        <f t="shared" si="5"/>
        <v>8</v>
      </c>
      <c r="Q6">
        <f t="shared" si="0"/>
        <v>32</v>
      </c>
      <c r="R6">
        <v>16</v>
      </c>
      <c r="S6">
        <v>8</v>
      </c>
      <c r="T6">
        <v>8</v>
      </c>
      <c r="U6">
        <f t="shared" si="6"/>
        <v>32</v>
      </c>
      <c r="V6">
        <f t="shared" si="7"/>
        <v>3.125</v>
      </c>
      <c r="W6">
        <f t="shared" si="8"/>
        <v>3.1666666666666665</v>
      </c>
      <c r="X6">
        <f t="shared" si="9"/>
        <v>3.0833333333333335</v>
      </c>
      <c r="Y6">
        <f t="shared" si="10"/>
        <v>3.125</v>
      </c>
    </row>
    <row r="7" spans="1:25" x14ac:dyDescent="0.3">
      <c r="A7">
        <v>6</v>
      </c>
      <c r="B7">
        <v>52</v>
      </c>
      <c r="C7">
        <v>26</v>
      </c>
      <c r="D7">
        <v>22</v>
      </c>
      <c r="E7">
        <v>58</v>
      </c>
      <c r="F7">
        <v>23</v>
      </c>
      <c r="G7">
        <v>19</v>
      </c>
      <c r="H7">
        <v>42</v>
      </c>
      <c r="I7">
        <v>28</v>
      </c>
      <c r="J7">
        <v>31</v>
      </c>
      <c r="K7">
        <f t="shared" si="2"/>
        <v>50.666666666666664</v>
      </c>
      <c r="L7">
        <f t="shared" si="2"/>
        <v>25.666666666666668</v>
      </c>
      <c r="M7">
        <f t="shared" si="2"/>
        <v>24</v>
      </c>
      <c r="N7">
        <f t="shared" si="3"/>
        <v>16</v>
      </c>
      <c r="O7">
        <f t="shared" si="4"/>
        <v>8</v>
      </c>
      <c r="P7">
        <f t="shared" si="5"/>
        <v>8</v>
      </c>
      <c r="Q7">
        <f t="shared" si="0"/>
        <v>32</v>
      </c>
      <c r="R7">
        <v>16</v>
      </c>
      <c r="S7">
        <v>8</v>
      </c>
      <c r="T7">
        <v>8</v>
      </c>
      <c r="U7">
        <f t="shared" si="6"/>
        <v>32</v>
      </c>
      <c r="V7">
        <f t="shared" si="7"/>
        <v>3.1666666666666665</v>
      </c>
      <c r="W7">
        <f t="shared" si="8"/>
        <v>3.2083333333333335</v>
      </c>
      <c r="X7">
        <f t="shared" si="9"/>
        <v>3</v>
      </c>
      <c r="Y7">
        <f t="shared" si="10"/>
        <v>3.125</v>
      </c>
    </row>
    <row r="8" spans="1:25" x14ac:dyDescent="0.3">
      <c r="A8">
        <v>7</v>
      </c>
      <c r="B8">
        <v>41</v>
      </c>
      <c r="C8">
        <v>36</v>
      </c>
      <c r="D8">
        <v>23</v>
      </c>
      <c r="E8">
        <v>47</v>
      </c>
      <c r="F8">
        <v>29</v>
      </c>
      <c r="G8">
        <v>24</v>
      </c>
      <c r="H8">
        <v>57</v>
      </c>
      <c r="I8">
        <v>24</v>
      </c>
      <c r="J8">
        <v>19</v>
      </c>
      <c r="K8">
        <f t="shared" si="2"/>
        <v>48.333333333333336</v>
      </c>
      <c r="L8">
        <f t="shared" si="2"/>
        <v>29.666666666666668</v>
      </c>
      <c r="M8">
        <f t="shared" si="2"/>
        <v>22</v>
      </c>
      <c r="N8">
        <f t="shared" si="3"/>
        <v>15</v>
      </c>
      <c r="O8">
        <f t="shared" si="4"/>
        <v>9</v>
      </c>
      <c r="P8">
        <f t="shared" si="5"/>
        <v>7</v>
      </c>
      <c r="Q8">
        <f t="shared" si="0"/>
        <v>31</v>
      </c>
      <c r="R8">
        <v>15</v>
      </c>
      <c r="S8">
        <v>10</v>
      </c>
      <c r="T8">
        <v>7</v>
      </c>
      <c r="U8">
        <f t="shared" si="6"/>
        <v>32</v>
      </c>
      <c r="V8">
        <f t="shared" si="7"/>
        <v>3.2222222222222223</v>
      </c>
      <c r="W8">
        <f t="shared" si="8"/>
        <v>2.9666666666666668</v>
      </c>
      <c r="X8">
        <f t="shared" si="9"/>
        <v>3.1428571428571428</v>
      </c>
      <c r="Y8">
        <f t="shared" si="10"/>
        <v>3.1105820105820108</v>
      </c>
    </row>
    <row r="9" spans="1:25" x14ac:dyDescent="0.3">
      <c r="A9">
        <v>8</v>
      </c>
      <c r="B9">
        <v>18</v>
      </c>
      <c r="C9">
        <v>18</v>
      </c>
      <c r="D9">
        <v>65</v>
      </c>
      <c r="E9">
        <v>51</v>
      </c>
      <c r="F9">
        <v>24</v>
      </c>
      <c r="G9">
        <v>25</v>
      </c>
      <c r="H9">
        <v>28</v>
      </c>
      <c r="I9">
        <v>26</v>
      </c>
      <c r="J9">
        <v>46</v>
      </c>
      <c r="K9">
        <f t="shared" si="2"/>
        <v>32.333333333333336</v>
      </c>
      <c r="L9">
        <f t="shared" si="2"/>
        <v>22.666666666666668</v>
      </c>
      <c r="M9">
        <f t="shared" si="2"/>
        <v>45.333333333333336</v>
      </c>
      <c r="N9">
        <f t="shared" si="3"/>
        <v>10</v>
      </c>
      <c r="O9">
        <f t="shared" si="4"/>
        <v>7</v>
      </c>
      <c r="P9">
        <f t="shared" si="5"/>
        <v>14</v>
      </c>
      <c r="Q9">
        <f t="shared" si="0"/>
        <v>31</v>
      </c>
      <c r="R9">
        <v>10</v>
      </c>
      <c r="S9">
        <v>8</v>
      </c>
      <c r="T9">
        <v>14</v>
      </c>
      <c r="U9">
        <f t="shared" si="6"/>
        <v>32</v>
      </c>
      <c r="V9">
        <f t="shared" si="7"/>
        <v>3.2333333333333334</v>
      </c>
      <c r="W9">
        <f t="shared" si="8"/>
        <v>2.8333333333333335</v>
      </c>
      <c r="X9">
        <f t="shared" si="9"/>
        <v>3.2380952380952381</v>
      </c>
      <c r="Y9">
        <f t="shared" si="10"/>
        <v>3.1015873015873012</v>
      </c>
    </row>
    <row r="10" spans="1:25" x14ac:dyDescent="0.3">
      <c r="A10">
        <v>9</v>
      </c>
      <c r="B10">
        <v>64</v>
      </c>
      <c r="C10">
        <v>18</v>
      </c>
      <c r="D10">
        <v>18</v>
      </c>
      <c r="E10">
        <v>33</v>
      </c>
      <c r="F10">
        <v>20</v>
      </c>
      <c r="G10">
        <v>47</v>
      </c>
      <c r="H10">
        <v>71</v>
      </c>
      <c r="I10">
        <v>19</v>
      </c>
      <c r="J10">
        <v>10</v>
      </c>
      <c r="K10">
        <f t="shared" si="2"/>
        <v>56</v>
      </c>
      <c r="L10">
        <f t="shared" si="2"/>
        <v>19</v>
      </c>
      <c r="M10">
        <f t="shared" si="2"/>
        <v>25</v>
      </c>
      <c r="N10">
        <f t="shared" si="3"/>
        <v>18</v>
      </c>
      <c r="O10">
        <f t="shared" si="4"/>
        <v>6</v>
      </c>
      <c r="P10">
        <f t="shared" si="5"/>
        <v>8</v>
      </c>
      <c r="Q10">
        <f t="shared" si="0"/>
        <v>32</v>
      </c>
      <c r="R10">
        <v>18</v>
      </c>
      <c r="S10">
        <v>6</v>
      </c>
      <c r="T10">
        <v>8</v>
      </c>
      <c r="U10">
        <f t="shared" si="6"/>
        <v>32</v>
      </c>
      <c r="V10">
        <f t="shared" si="7"/>
        <v>3.1111111111111112</v>
      </c>
      <c r="W10">
        <f t="shared" si="8"/>
        <v>3.1666666666666665</v>
      </c>
      <c r="X10">
        <f t="shared" si="9"/>
        <v>3.125</v>
      </c>
      <c r="Y10">
        <f t="shared" si="10"/>
        <v>3.1342592592592595</v>
      </c>
    </row>
    <row r="11" spans="1:25" x14ac:dyDescent="0.3">
      <c r="A11">
        <v>10</v>
      </c>
      <c r="B11">
        <v>36</v>
      </c>
      <c r="C11">
        <v>39</v>
      </c>
      <c r="D11">
        <v>25</v>
      </c>
      <c r="E11">
        <v>29</v>
      </c>
      <c r="F11">
        <v>18</v>
      </c>
      <c r="G11">
        <v>53</v>
      </c>
      <c r="H11">
        <v>56</v>
      </c>
      <c r="I11">
        <v>24</v>
      </c>
      <c r="J11">
        <v>20</v>
      </c>
      <c r="K11">
        <f t="shared" si="2"/>
        <v>40.333333333333336</v>
      </c>
      <c r="L11">
        <f t="shared" si="2"/>
        <v>27</v>
      </c>
      <c r="M11">
        <f t="shared" si="2"/>
        <v>32.666666666666664</v>
      </c>
      <c r="N11">
        <f t="shared" si="3"/>
        <v>13</v>
      </c>
      <c r="O11">
        <f t="shared" si="4"/>
        <v>9</v>
      </c>
      <c r="P11">
        <f t="shared" si="5"/>
        <v>10</v>
      </c>
      <c r="Q11">
        <f t="shared" si="0"/>
        <v>32</v>
      </c>
      <c r="R11">
        <v>13</v>
      </c>
      <c r="S11">
        <v>9</v>
      </c>
      <c r="T11">
        <v>10</v>
      </c>
      <c r="U11">
        <f t="shared" si="6"/>
        <v>32</v>
      </c>
      <c r="V11">
        <f t="shared" si="7"/>
        <v>3.1025641025641026</v>
      </c>
      <c r="W11">
        <f t="shared" si="8"/>
        <v>3</v>
      </c>
      <c r="X11">
        <f t="shared" si="9"/>
        <v>3.2666666666666666</v>
      </c>
      <c r="Y11">
        <f t="shared" si="10"/>
        <v>3.1230769230769226</v>
      </c>
    </row>
    <row r="12" spans="1:25" x14ac:dyDescent="0.3">
      <c r="A12">
        <v>11</v>
      </c>
      <c r="B12">
        <v>28</v>
      </c>
      <c r="C12">
        <v>49</v>
      </c>
      <c r="D12">
        <v>23</v>
      </c>
      <c r="E12">
        <v>50</v>
      </c>
      <c r="F12">
        <v>27</v>
      </c>
      <c r="G12">
        <v>23</v>
      </c>
      <c r="H12">
        <v>35</v>
      </c>
      <c r="I12">
        <v>27</v>
      </c>
      <c r="J12">
        <v>37</v>
      </c>
      <c r="K12">
        <f t="shared" si="2"/>
        <v>37.666666666666664</v>
      </c>
      <c r="L12">
        <f t="shared" si="2"/>
        <v>34.333333333333336</v>
      </c>
      <c r="M12">
        <f t="shared" si="2"/>
        <v>27.666666666666668</v>
      </c>
      <c r="N12">
        <f t="shared" si="3"/>
        <v>12</v>
      </c>
      <c r="O12">
        <f t="shared" si="4"/>
        <v>11</v>
      </c>
      <c r="P12">
        <f t="shared" si="5"/>
        <v>9</v>
      </c>
      <c r="Q12">
        <f t="shared" si="0"/>
        <v>32</v>
      </c>
      <c r="R12">
        <v>12</v>
      </c>
      <c r="S12">
        <v>11</v>
      </c>
      <c r="T12">
        <v>9</v>
      </c>
      <c r="U12">
        <f t="shared" si="6"/>
        <v>32</v>
      </c>
      <c r="V12">
        <f t="shared" si="7"/>
        <v>3.1388888888888888</v>
      </c>
      <c r="W12">
        <f t="shared" si="8"/>
        <v>3.1212121212121215</v>
      </c>
      <c r="X12">
        <f t="shared" si="9"/>
        <v>3.0740740740740744</v>
      </c>
      <c r="Y12">
        <f t="shared" si="10"/>
        <v>3.1113916947250284</v>
      </c>
    </row>
    <row r="13" spans="1:25" x14ac:dyDescent="0.3">
      <c r="A13">
        <v>12</v>
      </c>
      <c r="B13">
        <v>20</v>
      </c>
      <c r="C13">
        <v>37</v>
      </c>
      <c r="D13">
        <v>43</v>
      </c>
      <c r="E13">
        <v>28</v>
      </c>
      <c r="F13">
        <v>27</v>
      </c>
      <c r="G13">
        <v>45</v>
      </c>
      <c r="H13">
        <v>30</v>
      </c>
      <c r="I13">
        <v>26</v>
      </c>
      <c r="J13">
        <v>43</v>
      </c>
      <c r="K13">
        <f t="shared" si="2"/>
        <v>26</v>
      </c>
      <c r="L13">
        <f t="shared" si="2"/>
        <v>30</v>
      </c>
      <c r="M13">
        <f t="shared" si="2"/>
        <v>43.666666666666664</v>
      </c>
      <c r="N13">
        <f t="shared" si="3"/>
        <v>8</v>
      </c>
      <c r="O13">
        <f t="shared" si="4"/>
        <v>10</v>
      </c>
      <c r="P13">
        <f t="shared" si="5"/>
        <v>14</v>
      </c>
      <c r="Q13">
        <f t="shared" si="0"/>
        <v>32</v>
      </c>
      <c r="R13">
        <v>8</v>
      </c>
      <c r="S13">
        <v>10</v>
      </c>
      <c r="T13">
        <v>14</v>
      </c>
      <c r="U13">
        <f t="shared" si="6"/>
        <v>32</v>
      </c>
      <c r="V13">
        <f t="shared" si="7"/>
        <v>3.25</v>
      </c>
      <c r="W13">
        <f t="shared" si="8"/>
        <v>3</v>
      </c>
      <c r="X13">
        <f t="shared" si="9"/>
        <v>3.1190476190476191</v>
      </c>
      <c r="Y13">
        <f t="shared" si="10"/>
        <v>3.123015873015873</v>
      </c>
    </row>
    <row r="14" spans="1:25" x14ac:dyDescent="0.3">
      <c r="A14">
        <v>13</v>
      </c>
      <c r="B14">
        <v>34</v>
      </c>
      <c r="C14">
        <v>30</v>
      </c>
      <c r="D14">
        <v>36</v>
      </c>
      <c r="E14">
        <v>36</v>
      </c>
      <c r="F14">
        <v>29</v>
      </c>
      <c r="G14">
        <v>35</v>
      </c>
      <c r="H14">
        <v>41</v>
      </c>
      <c r="I14">
        <v>26</v>
      </c>
      <c r="J14">
        <v>32</v>
      </c>
      <c r="K14">
        <f t="shared" si="2"/>
        <v>37</v>
      </c>
      <c r="L14">
        <f t="shared" si="2"/>
        <v>28.333333333333332</v>
      </c>
      <c r="M14">
        <f t="shared" si="2"/>
        <v>34.333333333333336</v>
      </c>
      <c r="N14">
        <f t="shared" si="3"/>
        <v>12</v>
      </c>
      <c r="O14">
        <f t="shared" si="4"/>
        <v>9</v>
      </c>
      <c r="P14">
        <f t="shared" si="5"/>
        <v>11</v>
      </c>
      <c r="Q14">
        <f t="shared" si="0"/>
        <v>32</v>
      </c>
      <c r="R14">
        <v>12</v>
      </c>
      <c r="S14">
        <v>9</v>
      </c>
      <c r="T14">
        <v>11</v>
      </c>
      <c r="U14">
        <f t="shared" si="6"/>
        <v>32</v>
      </c>
      <c r="V14">
        <f t="shared" si="7"/>
        <v>3.0833333333333335</v>
      </c>
      <c r="W14">
        <f t="shared" si="8"/>
        <v>3.1481481481481479</v>
      </c>
      <c r="X14">
        <f t="shared" si="9"/>
        <v>3.1212121212121215</v>
      </c>
      <c r="Y14">
        <f t="shared" si="10"/>
        <v>3.1175645342312008</v>
      </c>
    </row>
    <row r="15" spans="1:25" x14ac:dyDescent="0.3">
      <c r="A15">
        <v>14</v>
      </c>
      <c r="B15">
        <v>69</v>
      </c>
      <c r="C15">
        <v>17</v>
      </c>
      <c r="D15">
        <v>14</v>
      </c>
      <c r="E15">
        <v>31</v>
      </c>
      <c r="F15">
        <v>17</v>
      </c>
      <c r="G15">
        <v>52</v>
      </c>
      <c r="H15">
        <v>62</v>
      </c>
      <c r="I15">
        <v>21</v>
      </c>
      <c r="J15">
        <v>17</v>
      </c>
      <c r="K15">
        <f t="shared" si="2"/>
        <v>54</v>
      </c>
      <c r="L15">
        <f t="shared" si="2"/>
        <v>18.333333333333332</v>
      </c>
      <c r="M15">
        <f t="shared" si="2"/>
        <v>27.666666666666668</v>
      </c>
      <c r="N15">
        <f t="shared" si="3"/>
        <v>17</v>
      </c>
      <c r="O15">
        <f t="shared" si="4"/>
        <v>6</v>
      </c>
      <c r="P15">
        <f t="shared" si="5"/>
        <v>9</v>
      </c>
      <c r="Q15">
        <f>N15+O15+P15</f>
        <v>32</v>
      </c>
      <c r="R15">
        <v>17</v>
      </c>
      <c r="S15">
        <v>6</v>
      </c>
      <c r="T15">
        <v>9</v>
      </c>
      <c r="U15">
        <f t="shared" si="6"/>
        <v>32</v>
      </c>
      <c r="V15">
        <f t="shared" si="7"/>
        <v>3.1764705882352939</v>
      </c>
      <c r="W15">
        <f t="shared" si="8"/>
        <v>3.0555555555555554</v>
      </c>
      <c r="X15">
        <f t="shared" si="9"/>
        <v>3.0740740740740744</v>
      </c>
      <c r="Y15">
        <f t="shared" si="10"/>
        <v>3.1020334059549746</v>
      </c>
    </row>
    <row r="18" spans="1:18" x14ac:dyDescent="0.3">
      <c r="A18" t="s">
        <v>19</v>
      </c>
      <c r="B18" t="s">
        <v>20</v>
      </c>
      <c r="C18" t="s">
        <v>21</v>
      </c>
      <c r="D18" t="s">
        <v>22</v>
      </c>
      <c r="K18" t="s">
        <v>23</v>
      </c>
      <c r="L18" t="str">
        <f>CONCATENATE("['",L19,"','",L20,"','",L21,"','",L22,"','",L23,"','",L24,"','",L25,"','",L26,"','",L27,"','",L28,"','",L29,"','",L30,"','",L31,"','",L32,"']")</f>
        <v>['1','1','2','1','1','1','1','2','1','1','1','2','1','1']</v>
      </c>
      <c r="Q18">
        <f>Q$1</f>
        <v>32</v>
      </c>
      <c r="R18">
        <f>Q18*100/Q$1</f>
        <v>100</v>
      </c>
    </row>
    <row r="19" spans="1:18" x14ac:dyDescent="0.3">
      <c r="A19">
        <v>1</v>
      </c>
      <c r="B19" t="str">
        <f>CONCATENATE(A$18,R2,B$18,S2,C$18,T2,D$18)</f>
        <v>{'1':16, 'X':9, '2':7},</v>
      </c>
      <c r="K19">
        <v>1</v>
      </c>
      <c r="L19">
        <f>IF(K2=MAX(K2:M2),1,IF(L2=MAX(K2:M2),"X",IF(M2=MAX(K2:M2),2)))</f>
        <v>1</v>
      </c>
      <c r="Q19">
        <f>Q$1-1</f>
        <v>31</v>
      </c>
      <c r="R19">
        <f t="shared" ref="R19:R50" si="11">Q19*100/Q$1</f>
        <v>96.875</v>
      </c>
    </row>
    <row r="20" spans="1:18" x14ac:dyDescent="0.3">
      <c r="A20">
        <v>2</v>
      </c>
      <c r="B20" t="str">
        <f t="shared" ref="B20:B32" si="12">CONCATENATE(A$18,R3,B$18,S3,C$18,T3,D$18)</f>
        <v>{'1':12, 'X':10, '2':10},</v>
      </c>
      <c r="K20">
        <v>2</v>
      </c>
      <c r="L20">
        <f t="shared" ref="L20:L32" si="13">IF(K3=MAX(K3:M3),1,IF(L3=MAX(K3:M3),"X",IF(M3=MAX(K3:M3),2)))</f>
        <v>1</v>
      </c>
      <c r="Q20">
        <f>Q$1-2</f>
        <v>30</v>
      </c>
      <c r="R20">
        <f t="shared" si="11"/>
        <v>93.75</v>
      </c>
    </row>
    <row r="21" spans="1:18" x14ac:dyDescent="0.3">
      <c r="A21">
        <v>3</v>
      </c>
      <c r="B21" t="str">
        <f t="shared" si="12"/>
        <v>{'1':8, 'X':10, '2':14},</v>
      </c>
      <c r="K21">
        <v>3</v>
      </c>
      <c r="L21">
        <f t="shared" si="13"/>
        <v>2</v>
      </c>
      <c r="Q21">
        <f>Q$1-3</f>
        <v>29</v>
      </c>
      <c r="R21">
        <f t="shared" si="11"/>
        <v>90.625</v>
      </c>
    </row>
    <row r="22" spans="1:18" x14ac:dyDescent="0.3">
      <c r="A22">
        <v>4</v>
      </c>
      <c r="B22" t="str">
        <f t="shared" si="12"/>
        <v>{'1':20, 'X':7, '2':5},</v>
      </c>
      <c r="K22">
        <v>4</v>
      </c>
      <c r="L22">
        <f t="shared" si="13"/>
        <v>1</v>
      </c>
      <c r="Q22">
        <f>Q$1-4</f>
        <v>28</v>
      </c>
      <c r="R22">
        <f t="shared" si="11"/>
        <v>87.5</v>
      </c>
    </row>
    <row r="23" spans="1:18" x14ac:dyDescent="0.3">
      <c r="A23">
        <v>5</v>
      </c>
      <c r="B23" t="str">
        <f t="shared" si="12"/>
        <v>{'1':16, 'X':8, '2':8},</v>
      </c>
      <c r="K23">
        <v>5</v>
      </c>
      <c r="L23">
        <f t="shared" si="13"/>
        <v>1</v>
      </c>
      <c r="Q23">
        <f>Q$1-5</f>
        <v>27</v>
      </c>
      <c r="R23">
        <f t="shared" si="11"/>
        <v>84.375</v>
      </c>
    </row>
    <row r="24" spans="1:18" x14ac:dyDescent="0.3">
      <c r="A24">
        <v>6</v>
      </c>
      <c r="B24" t="str">
        <f t="shared" si="12"/>
        <v>{'1':16, 'X':8, '2':8},</v>
      </c>
      <c r="K24">
        <v>6</v>
      </c>
      <c r="L24">
        <f t="shared" si="13"/>
        <v>1</v>
      </c>
      <c r="Q24">
        <f>Q$1-6</f>
        <v>26</v>
      </c>
      <c r="R24">
        <f t="shared" si="11"/>
        <v>81.25</v>
      </c>
    </row>
    <row r="25" spans="1:18" x14ac:dyDescent="0.3">
      <c r="A25">
        <v>7</v>
      </c>
      <c r="B25" t="str">
        <f t="shared" si="12"/>
        <v>{'1':15, 'X':10, '2':7},</v>
      </c>
      <c r="K25">
        <v>7</v>
      </c>
      <c r="L25">
        <f t="shared" si="13"/>
        <v>1</v>
      </c>
      <c r="Q25">
        <f>Q$1-7</f>
        <v>25</v>
      </c>
      <c r="R25">
        <f t="shared" si="11"/>
        <v>78.125</v>
      </c>
    </row>
    <row r="26" spans="1:18" x14ac:dyDescent="0.3">
      <c r="A26">
        <v>8</v>
      </c>
      <c r="B26" t="str">
        <f t="shared" si="12"/>
        <v>{'1':10, 'X':8, '2':14},</v>
      </c>
      <c r="K26">
        <v>8</v>
      </c>
      <c r="L26">
        <f t="shared" si="13"/>
        <v>2</v>
      </c>
      <c r="Q26">
        <f>Q$1-8</f>
        <v>24</v>
      </c>
      <c r="R26">
        <f t="shared" si="11"/>
        <v>75</v>
      </c>
    </row>
    <row r="27" spans="1:18" x14ac:dyDescent="0.3">
      <c r="A27">
        <v>9</v>
      </c>
      <c r="B27" t="str">
        <f t="shared" si="12"/>
        <v>{'1':18, 'X':6, '2':8},</v>
      </c>
      <c r="K27">
        <v>9</v>
      </c>
      <c r="L27">
        <f t="shared" si="13"/>
        <v>1</v>
      </c>
      <c r="Q27">
        <f>Q$1-9</f>
        <v>23</v>
      </c>
      <c r="R27">
        <f t="shared" si="11"/>
        <v>71.875</v>
      </c>
    </row>
    <row r="28" spans="1:18" x14ac:dyDescent="0.3">
      <c r="A28">
        <v>10</v>
      </c>
      <c r="B28" t="str">
        <f t="shared" si="12"/>
        <v>{'1':13, 'X':9, '2':10},</v>
      </c>
      <c r="K28">
        <v>10</v>
      </c>
      <c r="L28">
        <f t="shared" si="13"/>
        <v>1</v>
      </c>
      <c r="Q28">
        <f>Q$1-10</f>
        <v>22</v>
      </c>
      <c r="R28">
        <f t="shared" si="11"/>
        <v>68.75</v>
      </c>
    </row>
    <row r="29" spans="1:18" x14ac:dyDescent="0.3">
      <c r="A29">
        <v>11</v>
      </c>
      <c r="B29" t="str">
        <f t="shared" si="12"/>
        <v>{'1':12, 'X':11, '2':9},</v>
      </c>
      <c r="K29">
        <v>11</v>
      </c>
      <c r="L29">
        <f t="shared" si="13"/>
        <v>1</v>
      </c>
      <c r="Q29">
        <f>Q$1-11</f>
        <v>21</v>
      </c>
      <c r="R29">
        <f t="shared" si="11"/>
        <v>65.625</v>
      </c>
    </row>
    <row r="30" spans="1:18" x14ac:dyDescent="0.3">
      <c r="A30">
        <v>12</v>
      </c>
      <c r="B30" t="str">
        <f t="shared" si="12"/>
        <v>{'1':8, 'X':10, '2':14},</v>
      </c>
      <c r="K30">
        <v>12</v>
      </c>
      <c r="L30">
        <f t="shared" si="13"/>
        <v>2</v>
      </c>
      <c r="Q30">
        <f>Q$1-12</f>
        <v>20</v>
      </c>
      <c r="R30">
        <f t="shared" si="11"/>
        <v>62.5</v>
      </c>
    </row>
    <row r="31" spans="1:18" x14ac:dyDescent="0.3">
      <c r="A31">
        <v>13</v>
      </c>
      <c r="B31" t="str">
        <f t="shared" si="12"/>
        <v>{'1':12, 'X':9, '2':11},</v>
      </c>
      <c r="K31">
        <v>13</v>
      </c>
      <c r="L31">
        <f t="shared" si="13"/>
        <v>1</v>
      </c>
      <c r="Q31">
        <f>Q$1-13</f>
        <v>19</v>
      </c>
      <c r="R31">
        <f t="shared" si="11"/>
        <v>59.375</v>
      </c>
    </row>
    <row r="32" spans="1:18" x14ac:dyDescent="0.3">
      <c r="A32">
        <v>14</v>
      </c>
      <c r="B32" t="str">
        <f t="shared" si="12"/>
        <v>{'1':17, 'X':6, '2':9},</v>
      </c>
      <c r="K32">
        <v>14</v>
      </c>
      <c r="L32">
        <f t="shared" si="13"/>
        <v>1</v>
      </c>
      <c r="Q32">
        <f>Q$1-14</f>
        <v>18</v>
      </c>
      <c r="R32">
        <f t="shared" si="11"/>
        <v>56.25</v>
      </c>
    </row>
    <row r="33" spans="17:18" x14ac:dyDescent="0.3">
      <c r="Q33">
        <f>Q$1-15</f>
        <v>17</v>
      </c>
      <c r="R33">
        <f t="shared" si="11"/>
        <v>53.125</v>
      </c>
    </row>
    <row r="34" spans="17:18" x14ac:dyDescent="0.3">
      <c r="Q34">
        <f>Q$1-16</f>
        <v>16</v>
      </c>
      <c r="R34">
        <f t="shared" si="11"/>
        <v>50</v>
      </c>
    </row>
    <row r="35" spans="17:18" x14ac:dyDescent="0.3">
      <c r="Q35">
        <f>Q$1-17</f>
        <v>15</v>
      </c>
      <c r="R35">
        <f t="shared" si="11"/>
        <v>46.875</v>
      </c>
    </row>
    <row r="36" spans="17:18" x14ac:dyDescent="0.3">
      <c r="Q36">
        <f>Q$1-18</f>
        <v>14</v>
      </c>
      <c r="R36">
        <f t="shared" si="11"/>
        <v>43.75</v>
      </c>
    </row>
    <row r="37" spans="17:18" x14ac:dyDescent="0.3">
      <c r="Q37">
        <f>Q$1-18</f>
        <v>14</v>
      </c>
      <c r="R37">
        <f t="shared" si="11"/>
        <v>43.75</v>
      </c>
    </row>
    <row r="38" spans="17:18" x14ac:dyDescent="0.3">
      <c r="Q38">
        <f>Q$1-19</f>
        <v>13</v>
      </c>
      <c r="R38">
        <f t="shared" si="11"/>
        <v>40.625</v>
      </c>
    </row>
    <row r="39" spans="17:18" x14ac:dyDescent="0.3">
      <c r="Q39">
        <f>Q$1-20</f>
        <v>12</v>
      </c>
      <c r="R39">
        <f t="shared" si="11"/>
        <v>37.5</v>
      </c>
    </row>
    <row r="40" spans="17:18" x14ac:dyDescent="0.3">
      <c r="Q40">
        <f>Q$1-21</f>
        <v>11</v>
      </c>
      <c r="R40">
        <f t="shared" si="11"/>
        <v>34.375</v>
      </c>
    </row>
    <row r="41" spans="17:18" x14ac:dyDescent="0.3">
      <c r="Q41">
        <f>Q$1-22</f>
        <v>10</v>
      </c>
      <c r="R41">
        <f t="shared" si="11"/>
        <v>31.25</v>
      </c>
    </row>
    <row r="42" spans="17:18" x14ac:dyDescent="0.3">
      <c r="Q42">
        <f>Q$1-23</f>
        <v>9</v>
      </c>
      <c r="R42">
        <f t="shared" si="11"/>
        <v>28.125</v>
      </c>
    </row>
    <row r="43" spans="17:18" x14ac:dyDescent="0.3">
      <c r="Q43">
        <f>Q$1-24</f>
        <v>8</v>
      </c>
      <c r="R43">
        <f t="shared" si="11"/>
        <v>25</v>
      </c>
    </row>
    <row r="44" spans="17:18" x14ac:dyDescent="0.3">
      <c r="Q44">
        <f>Q$1-25</f>
        <v>7</v>
      </c>
      <c r="R44">
        <f t="shared" si="11"/>
        <v>21.875</v>
      </c>
    </row>
    <row r="45" spans="17:18" x14ac:dyDescent="0.3">
      <c r="Q45">
        <f>Q$1-26</f>
        <v>6</v>
      </c>
      <c r="R45">
        <f t="shared" si="11"/>
        <v>18.75</v>
      </c>
    </row>
    <row r="46" spans="17:18" x14ac:dyDescent="0.3">
      <c r="Q46">
        <f>Q$1-27</f>
        <v>5</v>
      </c>
      <c r="R46">
        <f t="shared" si="11"/>
        <v>15.625</v>
      </c>
    </row>
    <row r="47" spans="17:18" x14ac:dyDescent="0.3">
      <c r="Q47">
        <f>Q$1-28</f>
        <v>4</v>
      </c>
      <c r="R47">
        <f t="shared" si="11"/>
        <v>12.5</v>
      </c>
    </row>
    <row r="48" spans="17:18" x14ac:dyDescent="0.3">
      <c r="Q48">
        <f>Q$1-29</f>
        <v>3</v>
      </c>
      <c r="R48">
        <f t="shared" si="11"/>
        <v>9.375</v>
      </c>
    </row>
    <row r="49" spans="17:18" x14ac:dyDescent="0.3">
      <c r="Q49">
        <f>Q$1-30</f>
        <v>2</v>
      </c>
      <c r="R49">
        <f t="shared" si="11"/>
        <v>6.25</v>
      </c>
    </row>
    <row r="50" spans="17:18" x14ac:dyDescent="0.3">
      <c r="Q50">
        <f>Q$1-31</f>
        <v>1</v>
      </c>
      <c r="R50">
        <f t="shared" si="11"/>
        <v>3.125</v>
      </c>
    </row>
  </sheetData>
  <conditionalFormatting sqref="Q2:Q15">
    <cfRule type="cellIs" dxfId="1" priority="2" operator="equal">
      <formula>$Q$1</formula>
    </cfRule>
  </conditionalFormatting>
  <conditionalFormatting sqref="U2:U15">
    <cfRule type="cellIs" dxfId="0" priority="1" operator="equal">
      <formula>$Q$1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workbookViewId="0">
      <selection activeCell="C21" sqref="C21"/>
    </sheetView>
  </sheetViews>
  <sheetFormatPr baseColWidth="10" defaultRowHeight="14.4" x14ac:dyDescent="0.3"/>
  <sheetData>
    <row r="1" spans="1:17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 x14ac:dyDescent="0.3">
      <c r="A2">
        <v>1</v>
      </c>
      <c r="B2" t="s">
        <v>24</v>
      </c>
      <c r="C2" t="s">
        <v>25</v>
      </c>
      <c r="D2" t="s">
        <v>25</v>
      </c>
      <c r="E2" t="s">
        <v>24</v>
      </c>
      <c r="F2" t="s">
        <v>26</v>
      </c>
      <c r="G2" t="s">
        <v>25</v>
      </c>
      <c r="H2" t="s">
        <v>24</v>
      </c>
      <c r="I2" t="s">
        <v>25</v>
      </c>
      <c r="J2" t="s">
        <v>25</v>
      </c>
      <c r="K2" t="s">
        <v>26</v>
      </c>
      <c r="L2" t="s">
        <v>25</v>
      </c>
      <c r="M2" t="s">
        <v>25</v>
      </c>
      <c r="N2" t="s">
        <v>24</v>
      </c>
      <c r="O2" t="s">
        <v>26</v>
      </c>
      <c r="P2" t="s">
        <v>26</v>
      </c>
      <c r="Q2" t="s">
        <v>25</v>
      </c>
    </row>
    <row r="3" spans="1:17" x14ac:dyDescent="0.3">
      <c r="A3">
        <v>2</v>
      </c>
      <c r="B3" t="s">
        <v>27</v>
      </c>
      <c r="C3" t="s">
        <v>28</v>
      </c>
      <c r="D3" t="s">
        <v>28</v>
      </c>
      <c r="E3" t="s">
        <v>29</v>
      </c>
      <c r="F3" t="s">
        <v>28</v>
      </c>
      <c r="G3" t="s">
        <v>27</v>
      </c>
      <c r="H3" t="s">
        <v>28</v>
      </c>
      <c r="I3" t="s">
        <v>27</v>
      </c>
      <c r="J3" t="s">
        <v>28</v>
      </c>
      <c r="K3" t="s">
        <v>27</v>
      </c>
      <c r="L3" t="s">
        <v>28</v>
      </c>
      <c r="M3" t="s">
        <v>29</v>
      </c>
      <c r="N3" t="s">
        <v>28</v>
      </c>
      <c r="O3" t="s">
        <v>29</v>
      </c>
      <c r="P3" t="s">
        <v>28</v>
      </c>
      <c r="Q3" t="s">
        <v>28</v>
      </c>
    </row>
    <row r="4" spans="1:17" x14ac:dyDescent="0.3">
      <c r="A4">
        <v>3</v>
      </c>
      <c r="B4" t="s">
        <v>28</v>
      </c>
      <c r="C4" t="s">
        <v>28</v>
      </c>
      <c r="D4" t="s">
        <v>27</v>
      </c>
      <c r="E4" t="s">
        <v>28</v>
      </c>
      <c r="F4" t="s">
        <v>29</v>
      </c>
      <c r="G4" t="s">
        <v>29</v>
      </c>
      <c r="H4" t="s">
        <v>29</v>
      </c>
      <c r="I4" t="s">
        <v>28</v>
      </c>
      <c r="J4" t="s">
        <v>28</v>
      </c>
      <c r="K4" t="s">
        <v>28</v>
      </c>
      <c r="L4" t="s">
        <v>27</v>
      </c>
      <c r="M4" t="s">
        <v>29</v>
      </c>
      <c r="N4" t="s">
        <v>27</v>
      </c>
      <c r="O4" t="s">
        <v>28</v>
      </c>
      <c r="P4" t="s">
        <v>29</v>
      </c>
      <c r="Q4" t="s">
        <v>27</v>
      </c>
    </row>
    <row r="5" spans="1:17" x14ac:dyDescent="0.3">
      <c r="A5">
        <v>4</v>
      </c>
      <c r="B5" t="s">
        <v>29</v>
      </c>
      <c r="C5" t="s">
        <v>28</v>
      </c>
      <c r="D5" t="s">
        <v>28</v>
      </c>
      <c r="E5" t="s">
        <v>29</v>
      </c>
      <c r="F5" t="s">
        <v>28</v>
      </c>
      <c r="G5" t="s">
        <v>29</v>
      </c>
      <c r="H5" t="s">
        <v>28</v>
      </c>
      <c r="I5" t="s">
        <v>29</v>
      </c>
      <c r="J5" t="s">
        <v>27</v>
      </c>
      <c r="K5" t="s">
        <v>28</v>
      </c>
      <c r="L5" t="s">
        <v>27</v>
      </c>
      <c r="M5" t="s">
        <v>28</v>
      </c>
      <c r="N5" t="s">
        <v>28</v>
      </c>
      <c r="O5" t="s">
        <v>27</v>
      </c>
      <c r="P5" t="s">
        <v>29</v>
      </c>
      <c r="Q5" t="s">
        <v>27</v>
      </c>
    </row>
    <row r="6" spans="1:17" x14ac:dyDescent="0.3">
      <c r="A6">
        <v>5</v>
      </c>
      <c r="B6" t="s">
        <v>28</v>
      </c>
      <c r="C6" t="s">
        <v>29</v>
      </c>
      <c r="D6" t="s">
        <v>27</v>
      </c>
      <c r="E6" t="s">
        <v>28</v>
      </c>
      <c r="F6" t="s">
        <v>28</v>
      </c>
      <c r="G6" t="s">
        <v>29</v>
      </c>
      <c r="H6" t="s">
        <v>28</v>
      </c>
      <c r="I6" t="s">
        <v>29</v>
      </c>
      <c r="J6" t="s">
        <v>27</v>
      </c>
      <c r="K6" t="s">
        <v>28</v>
      </c>
      <c r="L6" t="s">
        <v>27</v>
      </c>
      <c r="M6" t="s">
        <v>28</v>
      </c>
      <c r="N6" t="s">
        <v>27</v>
      </c>
      <c r="O6" t="s">
        <v>28</v>
      </c>
      <c r="P6" t="s">
        <v>29</v>
      </c>
      <c r="Q6" t="s">
        <v>27</v>
      </c>
    </row>
    <row r="7" spans="1:17" x14ac:dyDescent="0.3">
      <c r="A7">
        <v>6</v>
      </c>
      <c r="B7" t="s">
        <v>28</v>
      </c>
      <c r="C7" t="s">
        <v>29</v>
      </c>
      <c r="D7" t="s">
        <v>29</v>
      </c>
      <c r="E7" t="s">
        <v>28</v>
      </c>
      <c r="F7" t="s">
        <v>28</v>
      </c>
      <c r="G7" t="s">
        <v>27</v>
      </c>
      <c r="H7" t="s">
        <v>28</v>
      </c>
      <c r="I7" t="s">
        <v>28</v>
      </c>
      <c r="J7" t="s">
        <v>29</v>
      </c>
      <c r="K7" t="s">
        <v>27</v>
      </c>
      <c r="L7" t="s">
        <v>27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</row>
    <row r="8" spans="1:17" x14ac:dyDescent="0.3">
      <c r="A8">
        <v>7</v>
      </c>
      <c r="B8" t="s">
        <v>28</v>
      </c>
      <c r="C8" t="s">
        <v>27</v>
      </c>
      <c r="D8" t="s">
        <v>28</v>
      </c>
      <c r="E8" t="s">
        <v>27</v>
      </c>
      <c r="F8" t="s">
        <v>29</v>
      </c>
      <c r="G8" t="s">
        <v>28</v>
      </c>
      <c r="H8" t="s">
        <v>28</v>
      </c>
      <c r="I8" t="s">
        <v>28</v>
      </c>
      <c r="J8" t="s">
        <v>27</v>
      </c>
      <c r="K8" t="s">
        <v>29</v>
      </c>
      <c r="L8" t="s">
        <v>28</v>
      </c>
      <c r="M8" t="s">
        <v>29</v>
      </c>
      <c r="N8" t="s">
        <v>28</v>
      </c>
      <c r="O8" t="s">
        <v>28</v>
      </c>
      <c r="P8" t="s">
        <v>28</v>
      </c>
      <c r="Q8" t="s">
        <v>27</v>
      </c>
    </row>
    <row r="9" spans="1:17" x14ac:dyDescent="0.3">
      <c r="A9">
        <v>8</v>
      </c>
      <c r="B9" t="s">
        <v>27</v>
      </c>
      <c r="C9" t="s">
        <v>28</v>
      </c>
      <c r="D9" t="s">
        <v>28</v>
      </c>
      <c r="E9" t="s">
        <v>29</v>
      </c>
      <c r="F9" t="s">
        <v>28</v>
      </c>
      <c r="G9" t="s">
        <v>27</v>
      </c>
      <c r="H9" t="s">
        <v>29</v>
      </c>
      <c r="I9" t="s">
        <v>28</v>
      </c>
      <c r="J9" t="s">
        <v>29</v>
      </c>
      <c r="K9" t="s">
        <v>28</v>
      </c>
      <c r="L9" t="s">
        <v>28</v>
      </c>
      <c r="M9" t="s">
        <v>27</v>
      </c>
      <c r="N9" t="s">
        <v>28</v>
      </c>
      <c r="O9" t="s">
        <v>27</v>
      </c>
      <c r="P9" t="s">
        <v>28</v>
      </c>
      <c r="Q9" t="s">
        <v>28</v>
      </c>
    </row>
    <row r="10" spans="1:17" x14ac:dyDescent="0.3">
      <c r="A10">
        <v>9</v>
      </c>
      <c r="B10" t="s">
        <v>28</v>
      </c>
      <c r="C10" t="s">
        <v>29</v>
      </c>
      <c r="D10" t="s">
        <v>27</v>
      </c>
      <c r="E10" t="s">
        <v>28</v>
      </c>
      <c r="F10" t="s">
        <v>27</v>
      </c>
      <c r="G10" t="s">
        <v>28</v>
      </c>
      <c r="H10" t="s">
        <v>28</v>
      </c>
      <c r="I10" t="s">
        <v>27</v>
      </c>
      <c r="J10" t="s">
        <v>29</v>
      </c>
      <c r="K10" t="s">
        <v>28</v>
      </c>
      <c r="L10" t="s">
        <v>28</v>
      </c>
      <c r="M10" t="s">
        <v>29</v>
      </c>
      <c r="N10" t="s">
        <v>28</v>
      </c>
      <c r="O10" t="s">
        <v>27</v>
      </c>
      <c r="P10" t="s">
        <v>29</v>
      </c>
      <c r="Q10" t="s">
        <v>29</v>
      </c>
    </row>
    <row r="11" spans="1:17" x14ac:dyDescent="0.3">
      <c r="A11">
        <v>10</v>
      </c>
      <c r="B11" t="s">
        <v>29</v>
      </c>
      <c r="C11" t="s">
        <v>28</v>
      </c>
      <c r="D11" t="s">
        <v>27</v>
      </c>
      <c r="E11" t="s">
        <v>29</v>
      </c>
      <c r="F11" t="s">
        <v>29</v>
      </c>
      <c r="G11" t="s">
        <v>29</v>
      </c>
      <c r="H11" t="s">
        <v>28</v>
      </c>
      <c r="I11" t="s">
        <v>28</v>
      </c>
      <c r="J11" t="s">
        <v>29</v>
      </c>
      <c r="K11" t="s">
        <v>27</v>
      </c>
      <c r="L11" t="s">
        <v>29</v>
      </c>
      <c r="M11" t="s">
        <v>27</v>
      </c>
      <c r="N11" t="s">
        <v>27</v>
      </c>
      <c r="O11" t="s">
        <v>28</v>
      </c>
      <c r="P11" t="s">
        <v>29</v>
      </c>
      <c r="Q11" t="s">
        <v>29</v>
      </c>
    </row>
    <row r="12" spans="1:17" x14ac:dyDescent="0.3">
      <c r="A12">
        <v>11</v>
      </c>
      <c r="B12" t="s">
        <v>27</v>
      </c>
      <c r="C12" t="s">
        <v>28</v>
      </c>
      <c r="D12" t="s">
        <v>27</v>
      </c>
      <c r="E12" t="s">
        <v>28</v>
      </c>
      <c r="F12" t="s">
        <v>29</v>
      </c>
      <c r="G12" t="s">
        <v>28</v>
      </c>
      <c r="H12" t="s">
        <v>29</v>
      </c>
      <c r="I12" t="s">
        <v>28</v>
      </c>
      <c r="J12" t="s">
        <v>28</v>
      </c>
      <c r="K12" t="s">
        <v>28</v>
      </c>
      <c r="L12" t="s">
        <v>27</v>
      </c>
      <c r="M12" t="s">
        <v>28</v>
      </c>
      <c r="N12" t="s">
        <v>27</v>
      </c>
      <c r="O12" t="s">
        <v>28</v>
      </c>
      <c r="P12" t="s">
        <v>29</v>
      </c>
      <c r="Q12" t="s">
        <v>29</v>
      </c>
    </row>
    <row r="13" spans="1:17" x14ac:dyDescent="0.3">
      <c r="A13">
        <v>12</v>
      </c>
      <c r="B13" t="s">
        <v>29</v>
      </c>
      <c r="C13" t="s">
        <v>28</v>
      </c>
      <c r="D13" t="s">
        <v>27</v>
      </c>
      <c r="E13" t="s">
        <v>28</v>
      </c>
      <c r="F13" t="s">
        <v>28</v>
      </c>
      <c r="G13" t="s">
        <v>27</v>
      </c>
      <c r="H13" t="s">
        <v>27</v>
      </c>
      <c r="I13" t="s">
        <v>28</v>
      </c>
      <c r="J13" t="s">
        <v>28</v>
      </c>
      <c r="K13" t="s">
        <v>29</v>
      </c>
      <c r="L13" t="s">
        <v>27</v>
      </c>
      <c r="M13" t="s">
        <v>28</v>
      </c>
      <c r="N13" t="s">
        <v>28</v>
      </c>
      <c r="O13" t="s">
        <v>29</v>
      </c>
      <c r="P13" t="s">
        <v>28</v>
      </c>
      <c r="Q13" t="s">
        <v>28</v>
      </c>
    </row>
    <row r="14" spans="1:17" x14ac:dyDescent="0.3">
      <c r="A14">
        <v>13</v>
      </c>
      <c r="B14" t="s">
        <v>29</v>
      </c>
      <c r="C14" t="s">
        <v>28</v>
      </c>
      <c r="D14" t="s">
        <v>28</v>
      </c>
      <c r="E14" t="s">
        <v>27</v>
      </c>
      <c r="F14" t="s">
        <v>27</v>
      </c>
      <c r="G14" t="s">
        <v>28</v>
      </c>
      <c r="H14" t="s">
        <v>28</v>
      </c>
      <c r="I14" t="s">
        <v>27</v>
      </c>
      <c r="J14" t="s">
        <v>28</v>
      </c>
      <c r="K14" t="s">
        <v>29</v>
      </c>
      <c r="L14" t="s">
        <v>29</v>
      </c>
      <c r="M14" t="s">
        <v>28</v>
      </c>
      <c r="N14" t="s">
        <v>27</v>
      </c>
      <c r="O14" t="s">
        <v>28</v>
      </c>
      <c r="P14" t="s">
        <v>28</v>
      </c>
      <c r="Q14" t="s">
        <v>28</v>
      </c>
    </row>
    <row r="15" spans="1:17" x14ac:dyDescent="0.3">
      <c r="A15">
        <v>14</v>
      </c>
      <c r="B15" t="s">
        <v>30</v>
      </c>
      <c r="C15" t="s">
        <v>31</v>
      </c>
      <c r="D15" t="s">
        <v>30</v>
      </c>
      <c r="E15" t="s">
        <v>30</v>
      </c>
      <c r="F15" t="s">
        <v>31</v>
      </c>
      <c r="G15" t="s">
        <v>30</v>
      </c>
      <c r="H15" t="s">
        <v>32</v>
      </c>
      <c r="I15" t="s">
        <v>31</v>
      </c>
      <c r="J15" t="s">
        <v>32</v>
      </c>
      <c r="K15" t="s">
        <v>30</v>
      </c>
      <c r="L15" t="s">
        <v>30</v>
      </c>
      <c r="M15" t="s">
        <v>32</v>
      </c>
      <c r="N15" t="s">
        <v>30</v>
      </c>
      <c r="O15" t="s">
        <v>30</v>
      </c>
      <c r="P15" t="s">
        <v>30</v>
      </c>
      <c r="Q15" t="s">
        <v>30</v>
      </c>
    </row>
    <row r="16" spans="1:17" x14ac:dyDescent="0.3">
      <c r="B16">
        <v>1</v>
      </c>
      <c r="C16">
        <v>5</v>
      </c>
    </row>
    <row r="17" spans="2:3" x14ac:dyDescent="0.3">
      <c r="B17">
        <v>2</v>
      </c>
      <c r="C17">
        <v>6</v>
      </c>
    </row>
    <row r="18" spans="2:3" x14ac:dyDescent="0.3">
      <c r="B18">
        <v>4</v>
      </c>
      <c r="C18">
        <v>7</v>
      </c>
    </row>
    <row r="19" spans="2:3" x14ac:dyDescent="0.3">
      <c r="B19">
        <v>8</v>
      </c>
      <c r="C19">
        <v>9</v>
      </c>
    </row>
    <row r="20" spans="2:3" x14ac:dyDescent="0.3">
      <c r="B20">
        <v>11</v>
      </c>
      <c r="C20">
        <v>10</v>
      </c>
    </row>
    <row r="21" spans="2:3" x14ac:dyDescent="0.3">
      <c r="B21">
        <v>12</v>
      </c>
    </row>
    <row r="22" spans="2:3" x14ac:dyDescent="0.3">
      <c r="B2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9"/>
  <sheetViews>
    <sheetView zoomScale="80" zoomScaleNormal="80" workbookViewId="0">
      <selection activeCell="G29" sqref="G29"/>
    </sheetView>
  </sheetViews>
  <sheetFormatPr baseColWidth="10" defaultRowHeight="14.4" x14ac:dyDescent="0.3"/>
  <cols>
    <col min="1" max="1" width="3.33203125" bestFit="1" customWidth="1"/>
    <col min="2" max="15" width="6.6640625" bestFit="1" customWidth="1"/>
    <col min="16" max="18" width="5.88671875" bestFit="1" customWidth="1"/>
    <col min="19" max="19" width="3" bestFit="1" customWidth="1"/>
    <col min="20" max="26" width="4.33203125" bestFit="1" customWidth="1"/>
  </cols>
  <sheetData>
    <row r="1" spans="1:2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>
        <f>800/8</f>
        <v>100</v>
      </c>
      <c r="AB1">
        <v>8</v>
      </c>
    </row>
    <row r="2" spans="1:28" x14ac:dyDescent="0.3">
      <c r="B2" t="s">
        <v>27</v>
      </c>
      <c r="C2" t="s">
        <v>28</v>
      </c>
      <c r="D2" t="s">
        <v>27</v>
      </c>
      <c r="E2" t="s">
        <v>29</v>
      </c>
      <c r="F2" t="s">
        <v>29</v>
      </c>
      <c r="G2" t="s">
        <v>27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29</v>
      </c>
      <c r="O2" t="s">
        <v>27</v>
      </c>
      <c r="P2">
        <f t="shared" ref="P2:P9" si="0">COUNTIF(B2:O2,A$10)</f>
        <v>7</v>
      </c>
      <c r="Q2">
        <f t="shared" ref="Q2:Q9" si="1">COUNTIF(B2:O2,A$11)</f>
        <v>4</v>
      </c>
      <c r="R2">
        <f t="shared" ref="R2:R9" si="2">COUNTIF(B2:O2,A$12)</f>
        <v>3</v>
      </c>
      <c r="S2">
        <f>SUM(P2:R2)</f>
        <v>14</v>
      </c>
      <c r="T2">
        <f>SUMPRODUCT(--(B2:O2=B$9:O$9))</f>
        <v>8</v>
      </c>
      <c r="U2">
        <f>SUMPRODUCT(--(B2:O2=B$8:O$8))</f>
        <v>8</v>
      </c>
      <c r="V2">
        <f>SUMPRODUCT(--(B2:O2=B$7:O$7))</f>
        <v>8</v>
      </c>
      <c r="W2">
        <f>SUMPRODUCT(--(B2:O2=B$6:O$6))</f>
        <v>8</v>
      </c>
      <c r="X2">
        <f>SUMPRODUCT(--(B2:O2=B$5:O$5))</f>
        <v>8</v>
      </c>
      <c r="Y2">
        <f>SUMPRODUCT(--(B2:O2=B$4:O$4))</f>
        <v>8</v>
      </c>
      <c r="Z2">
        <f>SUMPRODUCT(--(B2:O2=B$3:O$3))</f>
        <v>8</v>
      </c>
      <c r="AA2">
        <f>700/8</f>
        <v>87.5</v>
      </c>
      <c r="AB2">
        <v>7</v>
      </c>
    </row>
    <row r="3" spans="1:28" x14ac:dyDescent="0.3">
      <c r="B3" t="s">
        <v>28</v>
      </c>
      <c r="C3" t="s">
        <v>28</v>
      </c>
      <c r="D3" t="s">
        <v>28</v>
      </c>
      <c r="E3" t="s">
        <v>27</v>
      </c>
      <c r="F3" t="s">
        <v>28</v>
      </c>
      <c r="G3" t="s">
        <v>29</v>
      </c>
      <c r="H3" t="s">
        <v>28</v>
      </c>
      <c r="I3" t="s">
        <v>28</v>
      </c>
      <c r="J3" t="s">
        <v>28</v>
      </c>
      <c r="K3" t="s">
        <v>28</v>
      </c>
      <c r="L3" t="s">
        <v>29</v>
      </c>
      <c r="M3" t="s">
        <v>28</v>
      </c>
      <c r="N3" t="s">
        <v>29</v>
      </c>
      <c r="O3" t="s">
        <v>27</v>
      </c>
      <c r="P3">
        <f t="shared" si="0"/>
        <v>9</v>
      </c>
      <c r="Q3">
        <f t="shared" si="1"/>
        <v>2</v>
      </c>
      <c r="R3">
        <f t="shared" si="2"/>
        <v>3</v>
      </c>
      <c r="S3">
        <f t="shared" ref="S3:S9" si="3">SUM(P3:R3)</f>
        <v>14</v>
      </c>
      <c r="T3">
        <f t="shared" ref="T3:T8" si="4">SUMPRODUCT(--(B3:O3=B$9:O$9))</f>
        <v>8</v>
      </c>
      <c r="U3">
        <f t="shared" ref="U3:U7" si="5">SUMPRODUCT(--(B3:O3=B$8:O$8))</f>
        <v>8</v>
      </c>
      <c r="V3">
        <f t="shared" ref="V3:V6" si="6">SUMPRODUCT(--(B3:O3=B$7:O$7))</f>
        <v>8</v>
      </c>
      <c r="W3">
        <f t="shared" ref="W3:W5" si="7">SUMPRODUCT(--(B3:O3=B$6:O$6))</f>
        <v>8</v>
      </c>
      <c r="X3">
        <f t="shared" ref="X3:X4" si="8">SUMPRODUCT(--(B3:O3=B$5:O$5))</f>
        <v>8</v>
      </c>
      <c r="Y3">
        <f>SUMPRODUCT(--(B3:O3=B$4:O$4))</f>
        <v>8</v>
      </c>
      <c r="AA3">
        <f>600/8</f>
        <v>75</v>
      </c>
      <c r="AB3">
        <v>6</v>
      </c>
    </row>
    <row r="4" spans="1:28" x14ac:dyDescent="0.3">
      <c r="B4" t="s">
        <v>28</v>
      </c>
      <c r="C4" t="s">
        <v>28</v>
      </c>
      <c r="D4" t="s">
        <v>29</v>
      </c>
      <c r="E4" t="s">
        <v>28</v>
      </c>
      <c r="F4" t="s">
        <v>29</v>
      </c>
      <c r="G4" t="s">
        <v>27</v>
      </c>
      <c r="H4" t="s">
        <v>27</v>
      </c>
      <c r="I4" t="s">
        <v>28</v>
      </c>
      <c r="J4" t="s">
        <v>28</v>
      </c>
      <c r="K4" t="s">
        <v>28</v>
      </c>
      <c r="L4" t="s">
        <v>29</v>
      </c>
      <c r="M4" t="s">
        <v>27</v>
      </c>
      <c r="N4" t="s">
        <v>29</v>
      </c>
      <c r="O4" t="s">
        <v>27</v>
      </c>
      <c r="P4">
        <f t="shared" si="0"/>
        <v>6</v>
      </c>
      <c r="Q4">
        <f t="shared" si="1"/>
        <v>4</v>
      </c>
      <c r="R4">
        <f t="shared" si="2"/>
        <v>4</v>
      </c>
      <c r="S4">
        <f t="shared" si="3"/>
        <v>14</v>
      </c>
      <c r="T4">
        <f t="shared" si="4"/>
        <v>8</v>
      </c>
      <c r="U4">
        <f t="shared" si="5"/>
        <v>8</v>
      </c>
      <c r="V4">
        <f t="shared" si="6"/>
        <v>8</v>
      </c>
      <c r="W4">
        <f t="shared" si="7"/>
        <v>8</v>
      </c>
      <c r="X4">
        <f t="shared" si="8"/>
        <v>8</v>
      </c>
      <c r="AA4">
        <f>500/8</f>
        <v>62.5</v>
      </c>
      <c r="AB4">
        <v>5</v>
      </c>
    </row>
    <row r="5" spans="1:28" x14ac:dyDescent="0.3">
      <c r="B5" t="s">
        <v>29</v>
      </c>
      <c r="C5" t="s">
        <v>28</v>
      </c>
      <c r="D5" t="s">
        <v>28</v>
      </c>
      <c r="E5" t="s">
        <v>29</v>
      </c>
      <c r="F5" t="s">
        <v>29</v>
      </c>
      <c r="G5" t="s">
        <v>28</v>
      </c>
      <c r="H5" t="s">
        <v>27</v>
      </c>
      <c r="I5" t="s">
        <v>28</v>
      </c>
      <c r="J5" t="s">
        <v>28</v>
      </c>
      <c r="K5" t="s">
        <v>28</v>
      </c>
      <c r="L5" t="s">
        <v>29</v>
      </c>
      <c r="M5" t="s">
        <v>28</v>
      </c>
      <c r="N5" t="s">
        <v>27</v>
      </c>
      <c r="O5" t="s">
        <v>27</v>
      </c>
      <c r="P5">
        <f t="shared" si="0"/>
        <v>7</v>
      </c>
      <c r="Q5">
        <f t="shared" si="1"/>
        <v>3</v>
      </c>
      <c r="R5">
        <f t="shared" si="2"/>
        <v>4</v>
      </c>
      <c r="S5">
        <f t="shared" si="3"/>
        <v>14</v>
      </c>
      <c r="T5">
        <f t="shared" si="4"/>
        <v>8</v>
      </c>
      <c r="U5">
        <f t="shared" si="5"/>
        <v>8</v>
      </c>
      <c r="V5">
        <f t="shared" si="6"/>
        <v>8</v>
      </c>
      <c r="W5">
        <f t="shared" si="7"/>
        <v>8</v>
      </c>
      <c r="AA5">
        <f>400/8</f>
        <v>50</v>
      </c>
      <c r="AB5">
        <v>4</v>
      </c>
    </row>
    <row r="6" spans="1:28" x14ac:dyDescent="0.3">
      <c r="B6" t="s">
        <v>27</v>
      </c>
      <c r="C6" t="s">
        <v>28</v>
      </c>
      <c r="D6" t="s">
        <v>29</v>
      </c>
      <c r="E6" t="s">
        <v>27</v>
      </c>
      <c r="F6" t="s">
        <v>29</v>
      </c>
      <c r="G6" t="s">
        <v>28</v>
      </c>
      <c r="H6" t="s">
        <v>29</v>
      </c>
      <c r="I6" t="s">
        <v>28</v>
      </c>
      <c r="J6" t="s">
        <v>28</v>
      </c>
      <c r="K6" t="s">
        <v>27</v>
      </c>
      <c r="L6" t="s">
        <v>29</v>
      </c>
      <c r="M6" t="s">
        <v>28</v>
      </c>
      <c r="N6" t="s">
        <v>29</v>
      </c>
      <c r="O6" t="s">
        <v>27</v>
      </c>
      <c r="P6">
        <f t="shared" si="0"/>
        <v>5</v>
      </c>
      <c r="Q6">
        <f t="shared" si="1"/>
        <v>4</v>
      </c>
      <c r="R6">
        <f t="shared" si="2"/>
        <v>5</v>
      </c>
      <c r="S6">
        <f t="shared" si="3"/>
        <v>14</v>
      </c>
      <c r="T6">
        <f t="shared" si="4"/>
        <v>8</v>
      </c>
      <c r="U6">
        <f t="shared" si="5"/>
        <v>8</v>
      </c>
      <c r="V6">
        <f t="shared" si="6"/>
        <v>8</v>
      </c>
      <c r="AA6">
        <f>300/8</f>
        <v>37.5</v>
      </c>
      <c r="AB6">
        <v>3</v>
      </c>
    </row>
    <row r="7" spans="1:28" x14ac:dyDescent="0.3">
      <c r="B7" t="s">
        <v>28</v>
      </c>
      <c r="C7" t="s">
        <v>28</v>
      </c>
      <c r="D7" t="s">
        <v>29</v>
      </c>
      <c r="E7" t="s">
        <v>29</v>
      </c>
      <c r="F7" t="s">
        <v>28</v>
      </c>
      <c r="G7" t="s">
        <v>28</v>
      </c>
      <c r="H7" t="s">
        <v>27</v>
      </c>
      <c r="I7" t="s">
        <v>28</v>
      </c>
      <c r="J7" t="s">
        <v>28</v>
      </c>
      <c r="K7" t="s">
        <v>29</v>
      </c>
      <c r="L7" t="s">
        <v>28</v>
      </c>
      <c r="M7" t="s">
        <v>28</v>
      </c>
      <c r="N7" t="s">
        <v>29</v>
      </c>
      <c r="O7" t="s">
        <v>27</v>
      </c>
      <c r="P7">
        <f t="shared" si="0"/>
        <v>8</v>
      </c>
      <c r="Q7">
        <f t="shared" si="1"/>
        <v>2</v>
      </c>
      <c r="R7">
        <f t="shared" si="2"/>
        <v>4</v>
      </c>
      <c r="S7">
        <f t="shared" si="3"/>
        <v>14</v>
      </c>
      <c r="T7">
        <f t="shared" si="4"/>
        <v>8</v>
      </c>
      <c r="U7">
        <f t="shared" si="5"/>
        <v>8</v>
      </c>
      <c r="AA7">
        <f>200/8</f>
        <v>25</v>
      </c>
      <c r="AB7">
        <v>2</v>
      </c>
    </row>
    <row r="8" spans="1:28" x14ac:dyDescent="0.3">
      <c r="B8" t="s">
        <v>28</v>
      </c>
      <c r="C8" t="s">
        <v>28</v>
      </c>
      <c r="D8" t="s">
        <v>28</v>
      </c>
      <c r="E8" t="s">
        <v>29</v>
      </c>
      <c r="F8" t="s">
        <v>29</v>
      </c>
      <c r="G8" t="s">
        <v>27</v>
      </c>
      <c r="H8" t="s">
        <v>29</v>
      </c>
      <c r="I8" t="s">
        <v>27</v>
      </c>
      <c r="J8" t="s">
        <v>28</v>
      </c>
      <c r="K8" t="s">
        <v>29</v>
      </c>
      <c r="L8" t="s">
        <v>29</v>
      </c>
      <c r="M8" t="s">
        <v>28</v>
      </c>
      <c r="N8" t="s">
        <v>29</v>
      </c>
      <c r="O8" t="s">
        <v>27</v>
      </c>
      <c r="P8">
        <f t="shared" si="0"/>
        <v>5</v>
      </c>
      <c r="Q8">
        <f t="shared" si="1"/>
        <v>3</v>
      </c>
      <c r="R8">
        <f t="shared" si="2"/>
        <v>6</v>
      </c>
      <c r="S8">
        <f t="shared" si="3"/>
        <v>14</v>
      </c>
      <c r="T8">
        <f t="shared" si="4"/>
        <v>8</v>
      </c>
      <c r="AA8">
        <f>100/8</f>
        <v>12.5</v>
      </c>
      <c r="AB8">
        <v>1</v>
      </c>
    </row>
    <row r="9" spans="1:28" x14ac:dyDescent="0.3">
      <c r="B9" t="s">
        <v>28</v>
      </c>
      <c r="C9" t="s">
        <v>28</v>
      </c>
      <c r="D9" t="s">
        <v>27</v>
      </c>
      <c r="E9" t="s">
        <v>28</v>
      </c>
      <c r="F9" t="s">
        <v>29</v>
      </c>
      <c r="G9" t="s">
        <v>28</v>
      </c>
      <c r="H9" t="s">
        <v>28</v>
      </c>
      <c r="I9" t="s">
        <v>28</v>
      </c>
      <c r="J9" t="s">
        <v>28</v>
      </c>
      <c r="K9" t="s">
        <v>29</v>
      </c>
      <c r="L9" t="s">
        <v>29</v>
      </c>
      <c r="M9" t="s">
        <v>28</v>
      </c>
      <c r="N9" t="s">
        <v>28</v>
      </c>
      <c r="O9" t="s">
        <v>27</v>
      </c>
      <c r="P9">
        <f t="shared" si="0"/>
        <v>9</v>
      </c>
      <c r="Q9">
        <f t="shared" si="1"/>
        <v>2</v>
      </c>
      <c r="R9">
        <f t="shared" si="2"/>
        <v>3</v>
      </c>
      <c r="S9">
        <f t="shared" si="3"/>
        <v>14</v>
      </c>
    </row>
    <row r="10" spans="1:28" x14ac:dyDescent="0.3">
      <c r="A10" t="s">
        <v>28</v>
      </c>
      <c r="B10">
        <f t="shared" ref="B10:O10" si="9">COUNTIF(B2:B9,$A10)</f>
        <v>5</v>
      </c>
      <c r="C10">
        <f t="shared" si="9"/>
        <v>8</v>
      </c>
      <c r="D10">
        <f t="shared" si="9"/>
        <v>3</v>
      </c>
      <c r="E10">
        <f t="shared" si="9"/>
        <v>2</v>
      </c>
      <c r="F10">
        <f t="shared" si="9"/>
        <v>2</v>
      </c>
      <c r="G10">
        <f t="shared" si="9"/>
        <v>4</v>
      </c>
      <c r="H10">
        <f t="shared" si="9"/>
        <v>3</v>
      </c>
      <c r="I10">
        <f t="shared" si="9"/>
        <v>7</v>
      </c>
      <c r="J10">
        <f t="shared" si="9"/>
        <v>8</v>
      </c>
      <c r="K10">
        <f t="shared" si="9"/>
        <v>4</v>
      </c>
      <c r="L10">
        <f t="shared" si="9"/>
        <v>2</v>
      </c>
      <c r="M10">
        <f t="shared" si="9"/>
        <v>7</v>
      </c>
      <c r="N10">
        <f t="shared" si="9"/>
        <v>1</v>
      </c>
      <c r="O10">
        <f t="shared" si="9"/>
        <v>0</v>
      </c>
    </row>
    <row r="11" spans="1:28" x14ac:dyDescent="0.3">
      <c r="A11" t="s">
        <v>27</v>
      </c>
      <c r="B11">
        <f t="shared" ref="B11:O11" si="10">COUNTIF(B2:B9,$A11)</f>
        <v>2</v>
      </c>
      <c r="C11">
        <f t="shared" si="10"/>
        <v>0</v>
      </c>
      <c r="D11">
        <f t="shared" si="10"/>
        <v>2</v>
      </c>
      <c r="E11">
        <f t="shared" si="10"/>
        <v>2</v>
      </c>
      <c r="F11">
        <f t="shared" si="10"/>
        <v>0</v>
      </c>
      <c r="G11">
        <f t="shared" si="10"/>
        <v>3</v>
      </c>
      <c r="H11">
        <f t="shared" si="10"/>
        <v>3</v>
      </c>
      <c r="I11">
        <f t="shared" si="10"/>
        <v>1</v>
      </c>
      <c r="J11">
        <f t="shared" si="10"/>
        <v>0</v>
      </c>
      <c r="K11">
        <f t="shared" si="10"/>
        <v>1</v>
      </c>
      <c r="L11">
        <f t="shared" si="10"/>
        <v>0</v>
      </c>
      <c r="M11">
        <f t="shared" si="10"/>
        <v>1</v>
      </c>
      <c r="N11">
        <f t="shared" si="10"/>
        <v>1</v>
      </c>
      <c r="O11">
        <f t="shared" si="10"/>
        <v>8</v>
      </c>
    </row>
    <row r="12" spans="1:28" x14ac:dyDescent="0.3">
      <c r="A12" t="s">
        <v>29</v>
      </c>
      <c r="B12">
        <f t="shared" ref="B12:O12" si="11">COUNTIF(B2:B9,$A12)</f>
        <v>1</v>
      </c>
      <c r="C12">
        <f t="shared" si="11"/>
        <v>0</v>
      </c>
      <c r="D12">
        <f t="shared" si="11"/>
        <v>3</v>
      </c>
      <c r="E12">
        <f t="shared" si="11"/>
        <v>4</v>
      </c>
      <c r="F12">
        <f t="shared" si="11"/>
        <v>6</v>
      </c>
      <c r="G12">
        <f t="shared" si="11"/>
        <v>1</v>
      </c>
      <c r="H12">
        <f t="shared" si="11"/>
        <v>2</v>
      </c>
      <c r="I12">
        <f t="shared" si="11"/>
        <v>0</v>
      </c>
      <c r="J12">
        <f t="shared" si="11"/>
        <v>0</v>
      </c>
      <c r="K12">
        <f t="shared" si="11"/>
        <v>3</v>
      </c>
      <c r="L12">
        <f t="shared" si="11"/>
        <v>6</v>
      </c>
      <c r="M12">
        <f t="shared" si="11"/>
        <v>0</v>
      </c>
      <c r="N12">
        <f t="shared" si="11"/>
        <v>6</v>
      </c>
      <c r="O12">
        <f t="shared" si="11"/>
        <v>0</v>
      </c>
    </row>
    <row r="13" spans="1:28" x14ac:dyDescent="0.3">
      <c r="B13">
        <f>SUM(B10:B12)</f>
        <v>8</v>
      </c>
      <c r="C13">
        <f t="shared" ref="C13:O13" si="12">SUM(C10:C12)</f>
        <v>8</v>
      </c>
      <c r="D13">
        <f t="shared" si="12"/>
        <v>8</v>
      </c>
      <c r="E13">
        <f t="shared" si="12"/>
        <v>8</v>
      </c>
      <c r="F13">
        <f t="shared" si="12"/>
        <v>8</v>
      </c>
      <c r="G13">
        <f t="shared" si="12"/>
        <v>8</v>
      </c>
      <c r="H13">
        <f t="shared" si="12"/>
        <v>8</v>
      </c>
      <c r="I13">
        <f t="shared" si="12"/>
        <v>8</v>
      </c>
      <c r="J13">
        <f t="shared" si="12"/>
        <v>8</v>
      </c>
      <c r="K13">
        <f t="shared" si="12"/>
        <v>8</v>
      </c>
      <c r="L13">
        <f t="shared" si="12"/>
        <v>8</v>
      </c>
      <c r="M13">
        <f t="shared" si="12"/>
        <v>8</v>
      </c>
      <c r="N13">
        <f t="shared" si="12"/>
        <v>8</v>
      </c>
      <c r="O13">
        <f t="shared" si="12"/>
        <v>8</v>
      </c>
    </row>
    <row r="14" spans="1:28" x14ac:dyDescent="0.3">
      <c r="A14" t="s">
        <v>44</v>
      </c>
      <c r="B14">
        <v>5</v>
      </c>
      <c r="C14">
        <v>6</v>
      </c>
      <c r="D14">
        <v>3</v>
      </c>
      <c r="E14">
        <v>4</v>
      </c>
      <c r="F14">
        <v>2</v>
      </c>
      <c r="G14">
        <v>6</v>
      </c>
      <c r="H14">
        <v>2</v>
      </c>
      <c r="I14">
        <v>4</v>
      </c>
      <c r="J14">
        <v>4</v>
      </c>
      <c r="K14">
        <v>5</v>
      </c>
      <c r="L14">
        <v>3</v>
      </c>
      <c r="M14">
        <v>6</v>
      </c>
      <c r="N14">
        <v>1</v>
      </c>
      <c r="O14">
        <v>4</v>
      </c>
    </row>
    <row r="15" spans="1:28" x14ac:dyDescent="0.3">
      <c r="A15" t="s">
        <v>45</v>
      </c>
      <c r="B15">
        <v>2</v>
      </c>
      <c r="C15">
        <v>1</v>
      </c>
      <c r="D15">
        <v>3</v>
      </c>
      <c r="E15">
        <v>2</v>
      </c>
      <c r="F15">
        <v>2</v>
      </c>
      <c r="G15">
        <v>1</v>
      </c>
      <c r="H15">
        <v>2</v>
      </c>
      <c r="I15">
        <v>2</v>
      </c>
      <c r="J15">
        <v>2</v>
      </c>
      <c r="K15">
        <v>2</v>
      </c>
      <c r="L15">
        <v>3</v>
      </c>
      <c r="M15">
        <v>1</v>
      </c>
      <c r="N15">
        <v>2</v>
      </c>
      <c r="O15">
        <v>2</v>
      </c>
    </row>
    <row r="16" spans="1:28" x14ac:dyDescent="0.3">
      <c r="A16" t="s">
        <v>46</v>
      </c>
      <c r="B16">
        <v>1</v>
      </c>
      <c r="C16">
        <v>1</v>
      </c>
      <c r="D16">
        <v>2</v>
      </c>
      <c r="E16">
        <v>2</v>
      </c>
      <c r="F16">
        <v>4</v>
      </c>
      <c r="G16">
        <v>1</v>
      </c>
      <c r="H16">
        <v>4</v>
      </c>
      <c r="I16">
        <v>2</v>
      </c>
      <c r="J16">
        <v>2</v>
      </c>
      <c r="K16">
        <v>1</v>
      </c>
      <c r="L16">
        <v>2</v>
      </c>
      <c r="M16">
        <v>1</v>
      </c>
      <c r="N16">
        <v>5</v>
      </c>
      <c r="O16">
        <v>2</v>
      </c>
    </row>
    <row r="17" spans="2:15" x14ac:dyDescent="0.3">
      <c r="B17">
        <f>B10-B14</f>
        <v>0</v>
      </c>
      <c r="C17">
        <f t="shared" ref="C17:O17" si="13">C10-C14</f>
        <v>2</v>
      </c>
      <c r="D17">
        <f t="shared" si="13"/>
        <v>0</v>
      </c>
      <c r="E17">
        <f t="shared" si="13"/>
        <v>-2</v>
      </c>
      <c r="F17">
        <f t="shared" si="13"/>
        <v>0</v>
      </c>
      <c r="G17">
        <f t="shared" si="13"/>
        <v>-2</v>
      </c>
      <c r="H17">
        <f t="shared" si="13"/>
        <v>1</v>
      </c>
      <c r="I17">
        <f t="shared" si="13"/>
        <v>3</v>
      </c>
      <c r="J17">
        <f t="shared" si="13"/>
        <v>4</v>
      </c>
      <c r="K17">
        <f t="shared" si="13"/>
        <v>-1</v>
      </c>
      <c r="L17">
        <f t="shared" si="13"/>
        <v>-1</v>
      </c>
      <c r="M17">
        <f t="shared" si="13"/>
        <v>1</v>
      </c>
      <c r="N17">
        <f t="shared" si="13"/>
        <v>0</v>
      </c>
      <c r="O17">
        <f t="shared" si="13"/>
        <v>-4</v>
      </c>
    </row>
    <row r="18" spans="2:15" x14ac:dyDescent="0.3">
      <c r="B18">
        <f t="shared" ref="B18:O19" si="14">B11-B15</f>
        <v>0</v>
      </c>
      <c r="C18">
        <f t="shared" si="14"/>
        <v>-1</v>
      </c>
      <c r="D18">
        <f t="shared" si="14"/>
        <v>-1</v>
      </c>
      <c r="E18">
        <f t="shared" si="14"/>
        <v>0</v>
      </c>
      <c r="F18">
        <f t="shared" si="14"/>
        <v>-2</v>
      </c>
      <c r="G18">
        <f t="shared" si="14"/>
        <v>2</v>
      </c>
      <c r="H18">
        <f t="shared" si="14"/>
        <v>1</v>
      </c>
      <c r="I18">
        <f t="shared" si="14"/>
        <v>-1</v>
      </c>
      <c r="J18">
        <f t="shared" si="14"/>
        <v>-2</v>
      </c>
      <c r="K18">
        <f t="shared" si="14"/>
        <v>-1</v>
      </c>
      <c r="L18">
        <f t="shared" si="14"/>
        <v>-3</v>
      </c>
      <c r="M18">
        <f t="shared" si="14"/>
        <v>0</v>
      </c>
      <c r="N18">
        <f t="shared" si="14"/>
        <v>-1</v>
      </c>
      <c r="O18">
        <f t="shared" si="14"/>
        <v>6</v>
      </c>
    </row>
    <row r="19" spans="2:15" x14ac:dyDescent="0.3">
      <c r="B19">
        <f t="shared" si="14"/>
        <v>0</v>
      </c>
      <c r="C19">
        <f t="shared" si="14"/>
        <v>-1</v>
      </c>
      <c r="D19">
        <f t="shared" si="14"/>
        <v>1</v>
      </c>
      <c r="E19">
        <f t="shared" si="14"/>
        <v>2</v>
      </c>
      <c r="F19">
        <f t="shared" si="14"/>
        <v>2</v>
      </c>
      <c r="G19">
        <f t="shared" si="14"/>
        <v>0</v>
      </c>
      <c r="H19">
        <f t="shared" si="14"/>
        <v>-2</v>
      </c>
      <c r="I19">
        <f t="shared" si="14"/>
        <v>-2</v>
      </c>
      <c r="J19">
        <f t="shared" si="14"/>
        <v>-2</v>
      </c>
      <c r="K19">
        <f t="shared" si="14"/>
        <v>2</v>
      </c>
      <c r="L19">
        <f t="shared" si="14"/>
        <v>4</v>
      </c>
      <c r="M19">
        <f t="shared" si="14"/>
        <v>-1</v>
      </c>
      <c r="N19">
        <f t="shared" si="14"/>
        <v>1</v>
      </c>
      <c r="O19">
        <f t="shared" si="14"/>
        <v>-2</v>
      </c>
    </row>
  </sheetData>
  <conditionalFormatting sqref="B10:O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E529-A574-462D-8EBF-2EB538997810}">
  <dimension ref="A1:AN418"/>
  <sheetViews>
    <sheetView zoomScale="90" zoomScaleNormal="90" workbookViewId="0">
      <selection activeCell="T2" sqref="T2"/>
    </sheetView>
  </sheetViews>
  <sheetFormatPr baseColWidth="10" defaultRowHeight="14.4" x14ac:dyDescent="0.3"/>
  <cols>
    <col min="1" max="1" width="3.33203125" bestFit="1" customWidth="1"/>
    <col min="2" max="2" width="6.6640625" bestFit="1" customWidth="1"/>
    <col min="3" max="3" width="10.6640625" bestFit="1" customWidth="1"/>
    <col min="4" max="15" width="6.6640625" bestFit="1" customWidth="1"/>
    <col min="16" max="18" width="5.88671875" bestFit="1" customWidth="1"/>
    <col min="20" max="20" width="6.6640625" bestFit="1" customWidth="1"/>
    <col min="21" max="22" width="5.33203125" bestFit="1" customWidth="1"/>
    <col min="23" max="23" width="9.109375" bestFit="1" customWidth="1"/>
    <col min="24" max="28" width="5.33203125" bestFit="1" customWidth="1"/>
    <col min="29" max="35" width="4.33203125" bestFit="1" customWidth="1"/>
    <col min="36" max="36" width="5" bestFit="1" customWidth="1"/>
    <col min="37" max="37" width="5.21875" customWidth="1"/>
  </cols>
  <sheetData>
    <row r="1" spans="1:40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 t="s">
        <v>33</v>
      </c>
      <c r="Q1" t="s">
        <v>34</v>
      </c>
      <c r="R1" t="s">
        <v>35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>
        <f>1600/16</f>
        <v>100</v>
      </c>
      <c r="AK1">
        <v>16</v>
      </c>
      <c r="AM1">
        <v>1</v>
      </c>
      <c r="AN1">
        <f>COUNTIFS(U$2:AI$16,AM1)</f>
        <v>3</v>
      </c>
    </row>
    <row r="2" spans="1:40" x14ac:dyDescent="0.3">
      <c r="A2">
        <v>1</v>
      </c>
      <c r="B2" t="s">
        <v>24</v>
      </c>
      <c r="C2" t="s">
        <v>29</v>
      </c>
      <c r="D2" t="s">
        <v>29</v>
      </c>
      <c r="E2" t="s">
        <v>27</v>
      </c>
      <c r="F2" t="s">
        <v>27</v>
      </c>
      <c r="G2" t="s">
        <v>29</v>
      </c>
      <c r="H2" t="s">
        <v>28</v>
      </c>
      <c r="I2" t="s">
        <v>29</v>
      </c>
      <c r="J2" t="s">
        <v>29</v>
      </c>
      <c r="K2" t="s">
        <v>27</v>
      </c>
      <c r="L2" t="s">
        <v>28</v>
      </c>
      <c r="M2" t="s">
        <v>29</v>
      </c>
      <c r="N2" t="s">
        <v>29</v>
      </c>
      <c r="O2" t="s">
        <v>32</v>
      </c>
      <c r="P2">
        <f t="shared" ref="P2:P17" si="0">COUNTIF(B2:O2,A$19)+COUNTIF(B2:O2,A$29)+COUNTIF(B2:O2,A$32)</f>
        <v>2</v>
      </c>
      <c r="Q2">
        <f t="shared" ref="Q2:Q17" si="1">COUNTIF(B2:O2,A$20)+COUNTIF(B2:O2,A$30)+COUNTIF(B2:O2,A$33)</f>
        <v>4</v>
      </c>
      <c r="R2">
        <f t="shared" ref="R2:R17" si="2">COUNTIF(B2:O2,A$21)+COUNTIF(B2:O2,A$31)+COUNTIF(B2:O2,A$34)</f>
        <v>8</v>
      </c>
      <c r="S2">
        <f>SUM(P2:R2)</f>
        <v>14</v>
      </c>
      <c r="T2" s="3">
        <f>SUMPRODUCT(--(B2:O2=B$18:O$18))</f>
        <v>8</v>
      </c>
      <c r="U2">
        <f t="shared" ref="U2:U16" si="3">SUMPRODUCT(--(B2:O2=B$17:O$17))</f>
        <v>5</v>
      </c>
      <c r="V2">
        <f t="shared" ref="V2:V15" si="4">SUMPRODUCT(--(B2:O2=B$16:O$16))</f>
        <v>5</v>
      </c>
      <c r="W2">
        <f>SUMPRODUCT(--(B2:O2=B$15:O$15))</f>
        <v>6</v>
      </c>
      <c r="X2">
        <f>SUMPRODUCT(--(B2:O2=B$14:O$14))</f>
        <v>3</v>
      </c>
      <c r="Y2">
        <f>SUMPRODUCT(--(B2:O2=B$13:O$13))</f>
        <v>5</v>
      </c>
      <c r="Z2">
        <f>SUMPRODUCT(--(B2:O2=B$12:O$12))</f>
        <v>5</v>
      </c>
      <c r="AA2">
        <f>SUMPRODUCT(--(B2:O2=B$11:O$11))</f>
        <v>6</v>
      </c>
      <c r="AB2">
        <f>SUMPRODUCT(--(B2:O2=B$10:O$10))</f>
        <v>3</v>
      </c>
      <c r="AC2">
        <f>SUMPRODUCT(--(B2:O2=B$9:O$9))</f>
        <v>6</v>
      </c>
      <c r="AD2">
        <f>SUMPRODUCT(--(B2:O2=B$8:O$8))</f>
        <v>6</v>
      </c>
      <c r="AE2">
        <f>SUMPRODUCT(--(B2:O2=B$7:O$7))</f>
        <v>5</v>
      </c>
      <c r="AF2">
        <f>SUMPRODUCT(--(B2:O2=B$6:O$6))</f>
        <v>7</v>
      </c>
      <c r="AG2">
        <f>SUMPRODUCT(--(B2:O2=B$5:O$5))</f>
        <v>6</v>
      </c>
      <c r="AH2">
        <f>SUMPRODUCT(--(B2:O2=B$4:O$4))</f>
        <v>4</v>
      </c>
      <c r="AI2">
        <f>SUMPRODUCT(--(B2:O2=B$3:O$3))</f>
        <v>2</v>
      </c>
      <c r="AJ2">
        <f>1500/16</f>
        <v>93.75</v>
      </c>
      <c r="AK2">
        <v>15</v>
      </c>
      <c r="AM2">
        <v>2</v>
      </c>
      <c r="AN2">
        <f t="shared" ref="AN2:AN14" si="5">COUNTIFS(U$2:AI$16,AM2)</f>
        <v>3</v>
      </c>
    </row>
    <row r="3" spans="1:40" x14ac:dyDescent="0.3">
      <c r="A3">
        <v>2</v>
      </c>
      <c r="B3" t="s">
        <v>25</v>
      </c>
      <c r="C3" t="s">
        <v>29</v>
      </c>
      <c r="D3" t="s">
        <v>27</v>
      </c>
      <c r="E3" t="s">
        <v>27</v>
      </c>
      <c r="F3" t="s">
        <v>29</v>
      </c>
      <c r="G3" t="s">
        <v>28</v>
      </c>
      <c r="H3" t="s">
        <v>27</v>
      </c>
      <c r="I3" t="s">
        <v>28</v>
      </c>
      <c r="J3" t="s">
        <v>27</v>
      </c>
      <c r="K3" t="s">
        <v>29</v>
      </c>
      <c r="L3" t="s">
        <v>29</v>
      </c>
      <c r="M3" t="s">
        <v>27</v>
      </c>
      <c r="N3" t="s">
        <v>27</v>
      </c>
      <c r="O3" t="s">
        <v>31</v>
      </c>
      <c r="P3">
        <f t="shared" si="0"/>
        <v>3</v>
      </c>
      <c r="Q3">
        <f t="shared" si="1"/>
        <v>6</v>
      </c>
      <c r="R3">
        <f t="shared" si="2"/>
        <v>5</v>
      </c>
      <c r="S3">
        <f t="shared" ref="S3:S17" si="6">SUM(P3:R3)</f>
        <v>14</v>
      </c>
      <c r="T3" s="3">
        <f t="shared" ref="T3:T17" si="7">SUMPRODUCT(--(B3:O3=B$18:O$18))</f>
        <v>8</v>
      </c>
      <c r="U3">
        <f t="shared" si="3"/>
        <v>8</v>
      </c>
      <c r="V3">
        <f t="shared" si="4"/>
        <v>7</v>
      </c>
      <c r="W3">
        <f t="shared" ref="W3:W14" si="8">SUMPRODUCT(--(B3:O3=B$15:O$15))</f>
        <v>6</v>
      </c>
      <c r="X3">
        <f t="shared" ref="X3:X13" si="9">SUMPRODUCT(--(B3:O3=B$14:O$14))</f>
        <v>9</v>
      </c>
      <c r="Y3">
        <f t="shared" ref="Y3:Y12" si="10">SUMPRODUCT(--(B3:O3=B$13:O$13))</f>
        <v>4</v>
      </c>
      <c r="Z3">
        <f t="shared" ref="Z3:Z11" si="11">SUMPRODUCT(--(B3:O3=B$12:O$12))</f>
        <v>5</v>
      </c>
      <c r="AA3">
        <f t="shared" ref="AA3:AA10" si="12">SUMPRODUCT(--(B3:O3=B$11:O$11))</f>
        <v>5</v>
      </c>
      <c r="AB3">
        <f t="shared" ref="AB3:AB9" si="13">SUMPRODUCT(--(B3:O3=B$10:O$10))</f>
        <v>9</v>
      </c>
      <c r="AC3">
        <f t="shared" ref="AC3:AC8" si="14">SUMPRODUCT(--(B3:O3=B$9:O$9))</f>
        <v>4</v>
      </c>
      <c r="AD3">
        <f t="shared" ref="AD3:AD7" si="15">SUMPRODUCT(--(B3:O3=B$8:O$8))</f>
        <v>5</v>
      </c>
      <c r="AE3">
        <f t="shared" ref="AE3:AE6" si="16">SUMPRODUCT(--(B3:O3=B$7:O$7))</f>
        <v>6</v>
      </c>
      <c r="AF3">
        <f t="shared" ref="AF3:AF5" si="17">SUMPRODUCT(--(B3:O3=B$6:O$6))</f>
        <v>3</v>
      </c>
      <c r="AG3">
        <f t="shared" ref="AG3:AG4" si="18">SUMPRODUCT(--(B3:O3=B$5:O$5))</f>
        <v>7</v>
      </c>
      <c r="AH3">
        <f>SUMPRODUCT(--(B3:O3=B$4:O$4))</f>
        <v>4</v>
      </c>
      <c r="AJ3">
        <f>1400/16</f>
        <v>87.5</v>
      </c>
      <c r="AK3">
        <v>14</v>
      </c>
      <c r="AM3">
        <v>3</v>
      </c>
      <c r="AN3">
        <f t="shared" si="5"/>
        <v>12</v>
      </c>
    </row>
    <row r="4" spans="1:40" x14ac:dyDescent="0.3">
      <c r="A4">
        <v>3</v>
      </c>
      <c r="B4" t="s">
        <v>26</v>
      </c>
      <c r="C4" t="s">
        <v>27</v>
      </c>
      <c r="D4" t="s">
        <v>29</v>
      </c>
      <c r="E4" t="s">
        <v>28</v>
      </c>
      <c r="F4" t="s">
        <v>28</v>
      </c>
      <c r="G4" t="s">
        <v>28</v>
      </c>
      <c r="H4" t="s">
        <v>29</v>
      </c>
      <c r="I4" t="s">
        <v>28</v>
      </c>
      <c r="J4" t="s">
        <v>29</v>
      </c>
      <c r="K4" t="s">
        <v>29</v>
      </c>
      <c r="L4" t="s">
        <v>27</v>
      </c>
      <c r="M4" t="s">
        <v>29</v>
      </c>
      <c r="N4" t="s">
        <v>29</v>
      </c>
      <c r="O4" t="s">
        <v>31</v>
      </c>
      <c r="P4">
        <f t="shared" si="0"/>
        <v>4</v>
      </c>
      <c r="Q4">
        <f t="shared" si="1"/>
        <v>3</v>
      </c>
      <c r="R4">
        <f t="shared" si="2"/>
        <v>7</v>
      </c>
      <c r="S4">
        <f t="shared" si="6"/>
        <v>14</v>
      </c>
      <c r="T4" s="3">
        <f t="shared" si="7"/>
        <v>8</v>
      </c>
      <c r="U4">
        <f t="shared" si="3"/>
        <v>6</v>
      </c>
      <c r="V4">
        <f t="shared" si="4"/>
        <v>6</v>
      </c>
      <c r="W4">
        <f t="shared" si="8"/>
        <v>9</v>
      </c>
      <c r="X4">
        <f t="shared" si="9"/>
        <v>6</v>
      </c>
      <c r="Y4">
        <f t="shared" si="10"/>
        <v>5</v>
      </c>
      <c r="Z4">
        <f t="shared" si="11"/>
        <v>6</v>
      </c>
      <c r="AA4">
        <f t="shared" si="12"/>
        <v>6</v>
      </c>
      <c r="AB4">
        <f t="shared" si="13"/>
        <v>7</v>
      </c>
      <c r="AC4">
        <f t="shared" si="14"/>
        <v>6</v>
      </c>
      <c r="AD4">
        <f t="shared" si="15"/>
        <v>4</v>
      </c>
      <c r="AE4">
        <f t="shared" si="16"/>
        <v>7</v>
      </c>
      <c r="AF4">
        <f t="shared" si="17"/>
        <v>6</v>
      </c>
      <c r="AG4">
        <f t="shared" si="18"/>
        <v>1</v>
      </c>
      <c r="AJ4">
        <f>1300/16</f>
        <v>81.25</v>
      </c>
      <c r="AK4">
        <v>13</v>
      </c>
      <c r="AM4">
        <v>4</v>
      </c>
      <c r="AN4">
        <f t="shared" si="5"/>
        <v>19</v>
      </c>
    </row>
    <row r="5" spans="1:40" x14ac:dyDescent="0.3">
      <c r="A5">
        <v>4</v>
      </c>
      <c r="B5" t="s">
        <v>25</v>
      </c>
      <c r="C5" t="s">
        <v>29</v>
      </c>
      <c r="D5" t="s">
        <v>28</v>
      </c>
      <c r="E5" t="s">
        <v>27</v>
      </c>
      <c r="F5" t="s">
        <v>29</v>
      </c>
      <c r="G5" t="s">
        <v>28</v>
      </c>
      <c r="H5" t="s">
        <v>28</v>
      </c>
      <c r="I5" t="s">
        <v>27</v>
      </c>
      <c r="J5" t="s">
        <v>28</v>
      </c>
      <c r="K5" t="s">
        <v>27</v>
      </c>
      <c r="L5" t="s">
        <v>28</v>
      </c>
      <c r="M5" t="s">
        <v>27</v>
      </c>
      <c r="N5" t="s">
        <v>27</v>
      </c>
      <c r="O5" t="s">
        <v>32</v>
      </c>
      <c r="P5">
        <f t="shared" si="0"/>
        <v>6</v>
      </c>
      <c r="Q5">
        <f t="shared" si="1"/>
        <v>6</v>
      </c>
      <c r="R5">
        <f t="shared" si="2"/>
        <v>2</v>
      </c>
      <c r="S5">
        <f t="shared" si="6"/>
        <v>14</v>
      </c>
      <c r="T5" s="3">
        <f t="shared" si="7"/>
        <v>7</v>
      </c>
      <c r="U5">
        <f t="shared" si="3"/>
        <v>6</v>
      </c>
      <c r="V5">
        <f t="shared" si="4"/>
        <v>5</v>
      </c>
      <c r="W5">
        <f t="shared" si="8"/>
        <v>3</v>
      </c>
      <c r="X5">
        <f t="shared" si="9"/>
        <v>6</v>
      </c>
      <c r="Y5">
        <f t="shared" si="10"/>
        <v>6</v>
      </c>
      <c r="Z5">
        <f t="shared" si="11"/>
        <v>5</v>
      </c>
      <c r="AA5">
        <f t="shared" si="12"/>
        <v>3</v>
      </c>
      <c r="AB5">
        <f t="shared" si="13"/>
        <v>3</v>
      </c>
      <c r="AC5">
        <f t="shared" si="14"/>
        <v>4</v>
      </c>
      <c r="AD5">
        <f t="shared" si="15"/>
        <v>7</v>
      </c>
      <c r="AE5">
        <f t="shared" si="16"/>
        <v>4</v>
      </c>
      <c r="AF5">
        <f t="shared" si="17"/>
        <v>5</v>
      </c>
      <c r="AJ5">
        <f>1200/16</f>
        <v>75</v>
      </c>
      <c r="AK5">
        <v>12</v>
      </c>
      <c r="AM5">
        <v>5</v>
      </c>
      <c r="AN5">
        <f t="shared" si="5"/>
        <v>27</v>
      </c>
    </row>
    <row r="6" spans="1:40" x14ac:dyDescent="0.3">
      <c r="A6">
        <v>5</v>
      </c>
      <c r="B6" t="s">
        <v>25</v>
      </c>
      <c r="C6" t="s">
        <v>27</v>
      </c>
      <c r="D6" t="s">
        <v>29</v>
      </c>
      <c r="E6" t="s">
        <v>28</v>
      </c>
      <c r="F6" t="s">
        <v>29</v>
      </c>
      <c r="G6" t="s">
        <v>27</v>
      </c>
      <c r="H6" t="s">
        <v>28</v>
      </c>
      <c r="I6" t="s">
        <v>29</v>
      </c>
      <c r="J6" t="s">
        <v>29</v>
      </c>
      <c r="K6" t="s">
        <v>29</v>
      </c>
      <c r="L6" t="s">
        <v>28</v>
      </c>
      <c r="M6" t="s">
        <v>28</v>
      </c>
      <c r="N6" t="s">
        <v>29</v>
      </c>
      <c r="O6" t="s">
        <v>32</v>
      </c>
      <c r="P6">
        <f t="shared" si="0"/>
        <v>5</v>
      </c>
      <c r="Q6">
        <f t="shared" si="1"/>
        <v>3</v>
      </c>
      <c r="R6">
        <f t="shared" si="2"/>
        <v>6</v>
      </c>
      <c r="S6">
        <f t="shared" si="6"/>
        <v>14</v>
      </c>
      <c r="T6" s="3">
        <f t="shared" si="7"/>
        <v>8</v>
      </c>
      <c r="U6">
        <f t="shared" si="3"/>
        <v>6</v>
      </c>
      <c r="V6">
        <f t="shared" si="4"/>
        <v>6</v>
      </c>
      <c r="W6">
        <f t="shared" si="8"/>
        <v>4</v>
      </c>
      <c r="X6">
        <f t="shared" si="9"/>
        <v>4</v>
      </c>
      <c r="Y6">
        <f t="shared" si="10"/>
        <v>6</v>
      </c>
      <c r="Z6">
        <f t="shared" si="11"/>
        <v>8</v>
      </c>
      <c r="AA6">
        <f t="shared" si="12"/>
        <v>3</v>
      </c>
      <c r="AB6">
        <f t="shared" si="13"/>
        <v>3</v>
      </c>
      <c r="AC6">
        <f t="shared" si="14"/>
        <v>4</v>
      </c>
      <c r="AD6">
        <f t="shared" si="15"/>
        <v>5</v>
      </c>
      <c r="AE6">
        <f t="shared" si="16"/>
        <v>4</v>
      </c>
      <c r="AJ6">
        <f>1100/16</f>
        <v>68.75</v>
      </c>
      <c r="AK6">
        <v>11</v>
      </c>
      <c r="AM6">
        <v>6</v>
      </c>
      <c r="AN6">
        <f t="shared" si="5"/>
        <v>28</v>
      </c>
    </row>
    <row r="7" spans="1:40" x14ac:dyDescent="0.3">
      <c r="A7">
        <v>6</v>
      </c>
      <c r="B7" t="s">
        <v>24</v>
      </c>
      <c r="C7" t="s">
        <v>28</v>
      </c>
      <c r="D7" t="s">
        <v>29</v>
      </c>
      <c r="E7" t="s">
        <v>28</v>
      </c>
      <c r="F7" t="s">
        <v>27</v>
      </c>
      <c r="G7" t="s">
        <v>28</v>
      </c>
      <c r="H7" t="s">
        <v>27</v>
      </c>
      <c r="I7" t="s">
        <v>28</v>
      </c>
      <c r="J7" t="s">
        <v>28</v>
      </c>
      <c r="K7" t="s">
        <v>29</v>
      </c>
      <c r="L7" t="s">
        <v>28</v>
      </c>
      <c r="M7" t="s">
        <v>29</v>
      </c>
      <c r="N7" t="s">
        <v>27</v>
      </c>
      <c r="O7" t="s">
        <v>31</v>
      </c>
      <c r="P7">
        <f t="shared" si="0"/>
        <v>6</v>
      </c>
      <c r="Q7">
        <f t="shared" si="1"/>
        <v>3</v>
      </c>
      <c r="R7">
        <f t="shared" si="2"/>
        <v>5</v>
      </c>
      <c r="S7">
        <f t="shared" si="6"/>
        <v>14</v>
      </c>
      <c r="T7" s="3">
        <f t="shared" si="7"/>
        <v>7</v>
      </c>
      <c r="U7">
        <f t="shared" si="3"/>
        <v>7</v>
      </c>
      <c r="V7">
        <f t="shared" si="4"/>
        <v>4</v>
      </c>
      <c r="W7">
        <f t="shared" si="8"/>
        <v>7</v>
      </c>
      <c r="X7">
        <f t="shared" si="9"/>
        <v>5</v>
      </c>
      <c r="Y7">
        <f t="shared" si="10"/>
        <v>3</v>
      </c>
      <c r="Z7">
        <f t="shared" si="11"/>
        <v>5</v>
      </c>
      <c r="AA7">
        <f t="shared" si="12"/>
        <v>5</v>
      </c>
      <c r="AB7">
        <f t="shared" si="13"/>
        <v>6</v>
      </c>
      <c r="AC7">
        <f t="shared" si="14"/>
        <v>5</v>
      </c>
      <c r="AD7">
        <f t="shared" si="15"/>
        <v>1</v>
      </c>
      <c r="AJ7">
        <f>1000/16</f>
        <v>62.5</v>
      </c>
      <c r="AK7">
        <v>10</v>
      </c>
      <c r="AM7">
        <v>7</v>
      </c>
      <c r="AN7">
        <f t="shared" si="5"/>
        <v>14</v>
      </c>
    </row>
    <row r="8" spans="1:40" x14ac:dyDescent="0.3">
      <c r="A8">
        <v>7</v>
      </c>
      <c r="B8" t="s">
        <v>25</v>
      </c>
      <c r="C8" t="s">
        <v>29</v>
      </c>
      <c r="D8" t="s">
        <v>28</v>
      </c>
      <c r="E8" t="s">
        <v>29</v>
      </c>
      <c r="F8" t="s">
        <v>29</v>
      </c>
      <c r="G8" t="s">
        <v>29</v>
      </c>
      <c r="H8" t="s">
        <v>28</v>
      </c>
      <c r="I8" t="s">
        <v>28</v>
      </c>
      <c r="J8" t="s">
        <v>29</v>
      </c>
      <c r="K8" t="s">
        <v>27</v>
      </c>
      <c r="L8" t="s">
        <v>27</v>
      </c>
      <c r="M8" t="s">
        <v>27</v>
      </c>
      <c r="N8" t="s">
        <v>29</v>
      </c>
      <c r="O8" t="s">
        <v>30</v>
      </c>
      <c r="P8">
        <f t="shared" si="0"/>
        <v>5</v>
      </c>
      <c r="Q8">
        <f t="shared" si="1"/>
        <v>3</v>
      </c>
      <c r="R8">
        <f t="shared" si="2"/>
        <v>6</v>
      </c>
      <c r="S8">
        <f t="shared" si="6"/>
        <v>14</v>
      </c>
      <c r="T8" s="3">
        <f t="shared" si="7"/>
        <v>7</v>
      </c>
      <c r="U8">
        <f t="shared" si="3"/>
        <v>5</v>
      </c>
      <c r="V8">
        <f t="shared" si="4"/>
        <v>3</v>
      </c>
      <c r="W8">
        <f t="shared" si="8"/>
        <v>7</v>
      </c>
      <c r="X8">
        <f t="shared" si="9"/>
        <v>5</v>
      </c>
      <c r="Y8">
        <f t="shared" si="10"/>
        <v>4</v>
      </c>
      <c r="Z8">
        <f t="shared" si="11"/>
        <v>6</v>
      </c>
      <c r="AA8">
        <f t="shared" si="12"/>
        <v>4</v>
      </c>
      <c r="AB8">
        <f t="shared" si="13"/>
        <v>5</v>
      </c>
      <c r="AC8">
        <f t="shared" si="14"/>
        <v>3</v>
      </c>
      <c r="AJ8">
        <f>900/16</f>
        <v>56.25</v>
      </c>
      <c r="AK8">
        <v>9</v>
      </c>
      <c r="AM8">
        <v>8</v>
      </c>
      <c r="AN8">
        <f t="shared" si="5"/>
        <v>8</v>
      </c>
    </row>
    <row r="9" spans="1:40" x14ac:dyDescent="0.3">
      <c r="A9">
        <v>8</v>
      </c>
      <c r="B9" t="s">
        <v>25</v>
      </c>
      <c r="C9" t="s">
        <v>28</v>
      </c>
      <c r="D9" t="s">
        <v>29</v>
      </c>
      <c r="E9" t="s">
        <v>27</v>
      </c>
      <c r="F9" t="s">
        <v>28</v>
      </c>
      <c r="G9" t="s">
        <v>29</v>
      </c>
      <c r="H9" t="s">
        <v>29</v>
      </c>
      <c r="I9" t="s">
        <v>27</v>
      </c>
      <c r="J9" t="s">
        <v>27</v>
      </c>
      <c r="K9" t="s">
        <v>28</v>
      </c>
      <c r="L9" t="s">
        <v>28</v>
      </c>
      <c r="M9" t="s">
        <v>29</v>
      </c>
      <c r="N9" t="s">
        <v>29</v>
      </c>
      <c r="O9" t="s">
        <v>31</v>
      </c>
      <c r="P9">
        <f t="shared" si="0"/>
        <v>5</v>
      </c>
      <c r="Q9">
        <f t="shared" si="1"/>
        <v>3</v>
      </c>
      <c r="R9">
        <f t="shared" si="2"/>
        <v>6</v>
      </c>
      <c r="S9">
        <f t="shared" si="6"/>
        <v>14</v>
      </c>
      <c r="T9" s="3">
        <f t="shared" si="7"/>
        <v>7</v>
      </c>
      <c r="U9">
        <f t="shared" si="3"/>
        <v>4</v>
      </c>
      <c r="V9">
        <f t="shared" si="4"/>
        <v>4</v>
      </c>
      <c r="W9">
        <f t="shared" si="8"/>
        <v>4</v>
      </c>
      <c r="X9">
        <f t="shared" si="9"/>
        <v>5</v>
      </c>
      <c r="Y9">
        <f t="shared" si="10"/>
        <v>5</v>
      </c>
      <c r="Z9">
        <f t="shared" si="11"/>
        <v>4</v>
      </c>
      <c r="AA9">
        <f t="shared" si="12"/>
        <v>6</v>
      </c>
      <c r="AB9">
        <f t="shared" si="13"/>
        <v>2</v>
      </c>
      <c r="AJ9">
        <f>800/16</f>
        <v>50</v>
      </c>
      <c r="AK9">
        <v>8</v>
      </c>
      <c r="AM9">
        <v>9</v>
      </c>
      <c r="AN9">
        <f t="shared" si="5"/>
        <v>5</v>
      </c>
    </row>
    <row r="10" spans="1:40" x14ac:dyDescent="0.3">
      <c r="A10">
        <v>9</v>
      </c>
      <c r="B10" t="s">
        <v>26</v>
      </c>
      <c r="C10" t="s">
        <v>29</v>
      </c>
      <c r="D10" t="s">
        <v>27</v>
      </c>
      <c r="E10" t="s">
        <v>29</v>
      </c>
      <c r="F10" t="s">
        <v>29</v>
      </c>
      <c r="G10" t="s">
        <v>28</v>
      </c>
      <c r="H10" t="s">
        <v>27</v>
      </c>
      <c r="I10" t="s">
        <v>28</v>
      </c>
      <c r="J10" t="s">
        <v>29</v>
      </c>
      <c r="K10" t="s">
        <v>29</v>
      </c>
      <c r="L10" t="s">
        <v>29</v>
      </c>
      <c r="M10" t="s">
        <v>29</v>
      </c>
      <c r="N10" t="s">
        <v>28</v>
      </c>
      <c r="O10" t="s">
        <v>31</v>
      </c>
      <c r="P10">
        <f t="shared" si="0"/>
        <v>3</v>
      </c>
      <c r="Q10">
        <f t="shared" si="1"/>
        <v>3</v>
      </c>
      <c r="R10">
        <f t="shared" si="2"/>
        <v>8</v>
      </c>
      <c r="S10">
        <f t="shared" si="6"/>
        <v>14</v>
      </c>
      <c r="T10" s="3">
        <f t="shared" si="7"/>
        <v>8</v>
      </c>
      <c r="U10">
        <f t="shared" si="3"/>
        <v>8</v>
      </c>
      <c r="V10">
        <f t="shared" si="4"/>
        <v>9</v>
      </c>
      <c r="W10">
        <f t="shared" si="8"/>
        <v>7</v>
      </c>
      <c r="X10">
        <f t="shared" si="9"/>
        <v>10</v>
      </c>
      <c r="Y10">
        <f t="shared" si="10"/>
        <v>6</v>
      </c>
      <c r="Z10">
        <f t="shared" si="11"/>
        <v>5</v>
      </c>
      <c r="AA10">
        <f t="shared" si="12"/>
        <v>6</v>
      </c>
      <c r="AJ10">
        <f>700/16</f>
        <v>43.75</v>
      </c>
      <c r="AK10">
        <v>7</v>
      </c>
      <c r="AM10">
        <v>10</v>
      </c>
      <c r="AN10">
        <f t="shared" si="5"/>
        <v>1</v>
      </c>
    </row>
    <row r="11" spans="1:40" x14ac:dyDescent="0.3">
      <c r="A11">
        <v>10</v>
      </c>
      <c r="B11" t="s">
        <v>26</v>
      </c>
      <c r="C11" t="s">
        <v>29</v>
      </c>
      <c r="D11" t="s">
        <v>29</v>
      </c>
      <c r="E11" t="s">
        <v>27</v>
      </c>
      <c r="F11" t="s">
        <v>27</v>
      </c>
      <c r="G11" t="s">
        <v>27</v>
      </c>
      <c r="H11" t="s">
        <v>28</v>
      </c>
      <c r="I11" t="s">
        <v>28</v>
      </c>
      <c r="J11" t="s">
        <v>27</v>
      </c>
      <c r="K11" t="s">
        <v>28</v>
      </c>
      <c r="L11" t="s">
        <v>27</v>
      </c>
      <c r="M11" t="s">
        <v>29</v>
      </c>
      <c r="N11" t="s">
        <v>28</v>
      </c>
      <c r="O11" t="s">
        <v>31</v>
      </c>
      <c r="P11">
        <f t="shared" si="0"/>
        <v>4</v>
      </c>
      <c r="Q11">
        <f t="shared" si="1"/>
        <v>6</v>
      </c>
      <c r="R11">
        <f t="shared" si="2"/>
        <v>4</v>
      </c>
      <c r="S11">
        <f t="shared" si="6"/>
        <v>14</v>
      </c>
      <c r="T11" s="3">
        <f t="shared" si="7"/>
        <v>7</v>
      </c>
      <c r="U11">
        <f t="shared" si="3"/>
        <v>2</v>
      </c>
      <c r="V11">
        <f t="shared" si="4"/>
        <v>5</v>
      </c>
      <c r="W11">
        <f t="shared" si="8"/>
        <v>6</v>
      </c>
      <c r="X11">
        <f t="shared" si="9"/>
        <v>3</v>
      </c>
      <c r="Y11">
        <f t="shared" si="10"/>
        <v>7</v>
      </c>
      <c r="Z11">
        <f t="shared" si="11"/>
        <v>1</v>
      </c>
      <c r="AJ11">
        <f>600/16</f>
        <v>37.5</v>
      </c>
      <c r="AK11">
        <v>6</v>
      </c>
      <c r="AM11">
        <v>11</v>
      </c>
      <c r="AN11">
        <f t="shared" si="5"/>
        <v>0</v>
      </c>
    </row>
    <row r="12" spans="1:40" x14ac:dyDescent="0.3">
      <c r="A12">
        <v>11</v>
      </c>
      <c r="B12" t="s">
        <v>25</v>
      </c>
      <c r="C12" t="s">
        <v>29</v>
      </c>
      <c r="D12" t="s">
        <v>28</v>
      </c>
      <c r="E12" t="s">
        <v>28</v>
      </c>
      <c r="F12" t="s">
        <v>28</v>
      </c>
      <c r="G12" t="s">
        <v>28</v>
      </c>
      <c r="H12" t="s">
        <v>27</v>
      </c>
      <c r="I12" t="s">
        <v>29</v>
      </c>
      <c r="J12" t="s">
        <v>29</v>
      </c>
      <c r="K12" t="s">
        <v>29</v>
      </c>
      <c r="L12" t="s">
        <v>28</v>
      </c>
      <c r="M12" t="s">
        <v>28</v>
      </c>
      <c r="N12" t="s">
        <v>29</v>
      </c>
      <c r="O12" t="s">
        <v>30</v>
      </c>
      <c r="P12">
        <f t="shared" si="0"/>
        <v>8</v>
      </c>
      <c r="Q12">
        <f t="shared" si="1"/>
        <v>1</v>
      </c>
      <c r="R12">
        <f t="shared" si="2"/>
        <v>5</v>
      </c>
      <c r="S12">
        <f t="shared" si="6"/>
        <v>14</v>
      </c>
      <c r="T12" s="3">
        <f t="shared" si="7"/>
        <v>7</v>
      </c>
      <c r="U12">
        <f t="shared" si="3"/>
        <v>8</v>
      </c>
      <c r="V12">
        <f t="shared" si="4"/>
        <v>7</v>
      </c>
      <c r="W12">
        <f t="shared" si="8"/>
        <v>5</v>
      </c>
      <c r="X12">
        <f t="shared" si="9"/>
        <v>5</v>
      </c>
      <c r="Y12">
        <f t="shared" si="10"/>
        <v>7</v>
      </c>
      <c r="AJ12">
        <f>500/16</f>
        <v>31.25</v>
      </c>
      <c r="AK12">
        <v>5</v>
      </c>
      <c r="AM12">
        <v>12</v>
      </c>
      <c r="AN12">
        <f t="shared" si="5"/>
        <v>0</v>
      </c>
    </row>
    <row r="13" spans="1:40" x14ac:dyDescent="0.3">
      <c r="A13">
        <v>12</v>
      </c>
      <c r="B13" t="s">
        <v>26</v>
      </c>
      <c r="C13" t="s">
        <v>29</v>
      </c>
      <c r="D13" t="s">
        <v>28</v>
      </c>
      <c r="E13" t="s">
        <v>27</v>
      </c>
      <c r="F13" t="s">
        <v>28</v>
      </c>
      <c r="G13" t="s">
        <v>27</v>
      </c>
      <c r="H13" t="s">
        <v>28</v>
      </c>
      <c r="I13" t="s">
        <v>27</v>
      </c>
      <c r="J13" t="s">
        <v>29</v>
      </c>
      <c r="K13" t="s">
        <v>29</v>
      </c>
      <c r="L13" t="s">
        <v>28</v>
      </c>
      <c r="M13" t="s">
        <v>28</v>
      </c>
      <c r="N13" t="s">
        <v>28</v>
      </c>
      <c r="O13" t="s">
        <v>31</v>
      </c>
      <c r="P13">
        <f t="shared" si="0"/>
        <v>6</v>
      </c>
      <c r="Q13">
        <f t="shared" si="1"/>
        <v>4</v>
      </c>
      <c r="R13">
        <f t="shared" si="2"/>
        <v>4</v>
      </c>
      <c r="S13">
        <f t="shared" si="6"/>
        <v>14</v>
      </c>
      <c r="T13" s="3">
        <f t="shared" si="7"/>
        <v>7</v>
      </c>
      <c r="U13">
        <f t="shared" si="3"/>
        <v>6</v>
      </c>
      <c r="V13">
        <f t="shared" si="4"/>
        <v>9</v>
      </c>
      <c r="W13">
        <f t="shared" si="8"/>
        <v>4</v>
      </c>
      <c r="X13">
        <f t="shared" si="9"/>
        <v>5</v>
      </c>
      <c r="AJ13">
        <f>400/16</f>
        <v>25</v>
      </c>
      <c r="AK13">
        <v>4</v>
      </c>
      <c r="AM13">
        <v>13</v>
      </c>
      <c r="AN13">
        <f t="shared" si="5"/>
        <v>0</v>
      </c>
    </row>
    <row r="14" spans="1:40" x14ac:dyDescent="0.3">
      <c r="A14">
        <v>13</v>
      </c>
      <c r="B14" t="s">
        <v>25</v>
      </c>
      <c r="C14" t="s">
        <v>29</v>
      </c>
      <c r="D14" t="s">
        <v>27</v>
      </c>
      <c r="E14" t="s">
        <v>29</v>
      </c>
      <c r="F14" t="s">
        <v>29</v>
      </c>
      <c r="G14" t="s">
        <v>28</v>
      </c>
      <c r="H14" t="s">
        <v>29</v>
      </c>
      <c r="I14" t="s">
        <v>27</v>
      </c>
      <c r="J14" t="s">
        <v>29</v>
      </c>
      <c r="K14" t="s">
        <v>29</v>
      </c>
      <c r="L14" t="s">
        <v>29</v>
      </c>
      <c r="M14" t="s">
        <v>29</v>
      </c>
      <c r="N14" t="s">
        <v>27</v>
      </c>
      <c r="O14" t="s">
        <v>31</v>
      </c>
      <c r="P14">
        <f t="shared" si="0"/>
        <v>2</v>
      </c>
      <c r="Q14">
        <f t="shared" si="1"/>
        <v>3</v>
      </c>
      <c r="R14">
        <f t="shared" si="2"/>
        <v>9</v>
      </c>
      <c r="S14">
        <f t="shared" si="6"/>
        <v>14</v>
      </c>
      <c r="T14" s="3">
        <f t="shared" si="7"/>
        <v>8</v>
      </c>
      <c r="U14">
        <f t="shared" si="3"/>
        <v>8</v>
      </c>
      <c r="V14">
        <f t="shared" si="4"/>
        <v>8</v>
      </c>
      <c r="W14">
        <f t="shared" si="8"/>
        <v>7</v>
      </c>
      <c r="AJ14">
        <f>300/16</f>
        <v>18.75</v>
      </c>
      <c r="AK14">
        <v>3</v>
      </c>
      <c r="AM14">
        <v>14</v>
      </c>
      <c r="AN14">
        <f t="shared" si="5"/>
        <v>0</v>
      </c>
    </row>
    <row r="15" spans="1:40" x14ac:dyDescent="0.3">
      <c r="A15">
        <v>14</v>
      </c>
      <c r="B15" t="s">
        <v>24</v>
      </c>
      <c r="C15" t="s">
        <v>29</v>
      </c>
      <c r="D15" t="s">
        <v>29</v>
      </c>
      <c r="E15" t="s">
        <v>29</v>
      </c>
      <c r="F15" t="s">
        <v>27</v>
      </c>
      <c r="G15" t="s">
        <v>28</v>
      </c>
      <c r="H15" t="s">
        <v>29</v>
      </c>
      <c r="I15" t="s">
        <v>28</v>
      </c>
      <c r="J15" t="s">
        <v>29</v>
      </c>
      <c r="K15" t="s">
        <v>29</v>
      </c>
      <c r="L15" t="s">
        <v>27</v>
      </c>
      <c r="M15" t="s">
        <v>27</v>
      </c>
      <c r="N15" t="s">
        <v>29</v>
      </c>
      <c r="O15" t="s">
        <v>31</v>
      </c>
      <c r="P15">
        <f t="shared" si="0"/>
        <v>2</v>
      </c>
      <c r="Q15">
        <f t="shared" si="1"/>
        <v>3</v>
      </c>
      <c r="R15">
        <f t="shared" si="2"/>
        <v>9</v>
      </c>
      <c r="S15">
        <f t="shared" si="6"/>
        <v>14</v>
      </c>
      <c r="T15" s="3">
        <f t="shared" si="7"/>
        <v>8</v>
      </c>
      <c r="U15">
        <f t="shared" si="3"/>
        <v>8</v>
      </c>
      <c r="V15">
        <f t="shared" si="4"/>
        <v>6</v>
      </c>
      <c r="AJ15">
        <f>200/16</f>
        <v>12.5</v>
      </c>
      <c r="AK15">
        <v>2</v>
      </c>
    </row>
    <row r="16" spans="1:40" x14ac:dyDescent="0.3">
      <c r="A16">
        <v>15</v>
      </c>
      <c r="B16" t="s">
        <v>26</v>
      </c>
      <c r="C16" t="s">
        <v>29</v>
      </c>
      <c r="D16" t="s">
        <v>27</v>
      </c>
      <c r="E16" t="s">
        <v>27</v>
      </c>
      <c r="F16" t="s">
        <v>29</v>
      </c>
      <c r="G16" t="s">
        <v>28</v>
      </c>
      <c r="H16" t="s">
        <v>29</v>
      </c>
      <c r="I16" t="s">
        <v>29</v>
      </c>
      <c r="J16" t="s">
        <v>29</v>
      </c>
      <c r="K16" t="s">
        <v>29</v>
      </c>
      <c r="L16" t="s">
        <v>28</v>
      </c>
      <c r="M16" t="s">
        <v>28</v>
      </c>
      <c r="N16" t="s">
        <v>28</v>
      </c>
      <c r="O16" t="s">
        <v>31</v>
      </c>
      <c r="P16">
        <f t="shared" si="0"/>
        <v>4</v>
      </c>
      <c r="Q16">
        <f t="shared" si="1"/>
        <v>3</v>
      </c>
      <c r="R16">
        <f t="shared" si="2"/>
        <v>7</v>
      </c>
      <c r="S16">
        <f t="shared" si="6"/>
        <v>14</v>
      </c>
      <c r="T16" s="3">
        <f t="shared" si="7"/>
        <v>8</v>
      </c>
      <c r="U16">
        <f t="shared" si="3"/>
        <v>8</v>
      </c>
      <c r="AJ16">
        <f>100/16</f>
        <v>6.25</v>
      </c>
      <c r="AK16">
        <v>1</v>
      </c>
    </row>
    <row r="17" spans="1:36" x14ac:dyDescent="0.3">
      <c r="A17">
        <v>16</v>
      </c>
      <c r="B17" t="s">
        <v>24</v>
      </c>
      <c r="C17" t="s">
        <v>29</v>
      </c>
      <c r="D17" t="s">
        <v>27</v>
      </c>
      <c r="E17" t="s">
        <v>28</v>
      </c>
      <c r="F17" t="s">
        <v>29</v>
      </c>
      <c r="G17" t="s">
        <v>28</v>
      </c>
      <c r="H17" t="s">
        <v>27</v>
      </c>
      <c r="I17" t="s">
        <v>27</v>
      </c>
      <c r="J17" t="s">
        <v>29</v>
      </c>
      <c r="K17" t="s">
        <v>29</v>
      </c>
      <c r="L17" t="s">
        <v>28</v>
      </c>
      <c r="M17" t="s">
        <v>27</v>
      </c>
      <c r="N17" t="s">
        <v>29</v>
      </c>
      <c r="O17" t="s">
        <v>31</v>
      </c>
      <c r="P17">
        <f t="shared" si="0"/>
        <v>3</v>
      </c>
      <c r="Q17">
        <f t="shared" si="1"/>
        <v>4</v>
      </c>
      <c r="R17">
        <f t="shared" si="2"/>
        <v>7</v>
      </c>
      <c r="S17">
        <f t="shared" si="6"/>
        <v>14</v>
      </c>
      <c r="T17" s="3">
        <f t="shared" si="7"/>
        <v>8</v>
      </c>
    </row>
    <row r="18" spans="1:36" x14ac:dyDescent="0.3">
      <c r="A18" t="s">
        <v>66</v>
      </c>
      <c r="B18" t="s">
        <v>25</v>
      </c>
      <c r="C18" t="s">
        <v>29</v>
      </c>
      <c r="D18" t="s">
        <v>29</v>
      </c>
      <c r="E18" t="s">
        <v>27</v>
      </c>
      <c r="F18" t="s">
        <v>29</v>
      </c>
      <c r="G18" t="s">
        <v>28</v>
      </c>
      <c r="H18" t="s">
        <v>28</v>
      </c>
      <c r="I18" t="s">
        <v>28</v>
      </c>
      <c r="J18" t="s">
        <v>29</v>
      </c>
      <c r="K18" t="s">
        <v>29</v>
      </c>
      <c r="L18" t="s">
        <v>28</v>
      </c>
      <c r="M18" t="s">
        <v>29</v>
      </c>
      <c r="N18" t="s">
        <v>29</v>
      </c>
      <c r="O18" t="s">
        <v>31</v>
      </c>
    </row>
    <row r="19" spans="1:36" x14ac:dyDescent="0.3">
      <c r="A19" t="s">
        <v>28</v>
      </c>
      <c r="B19">
        <f>COUNTIF(B2:B17,$A29)</f>
        <v>7</v>
      </c>
      <c r="C19">
        <f t="shared" ref="C19:N19" si="19">COUNTIF(C2:C17,$A19)</f>
        <v>2</v>
      </c>
      <c r="D19">
        <f t="shared" si="19"/>
        <v>4</v>
      </c>
      <c r="E19">
        <f t="shared" si="19"/>
        <v>5</v>
      </c>
      <c r="F19">
        <f t="shared" si="19"/>
        <v>4</v>
      </c>
      <c r="G19">
        <f t="shared" si="19"/>
        <v>10</v>
      </c>
      <c r="H19">
        <f t="shared" si="19"/>
        <v>6</v>
      </c>
      <c r="I19">
        <f t="shared" si="19"/>
        <v>7</v>
      </c>
      <c r="J19">
        <f t="shared" si="19"/>
        <v>2</v>
      </c>
      <c r="K19">
        <f t="shared" si="19"/>
        <v>2</v>
      </c>
      <c r="L19">
        <f t="shared" si="19"/>
        <v>9</v>
      </c>
      <c r="M19">
        <f t="shared" si="19"/>
        <v>4</v>
      </c>
      <c r="N19">
        <f t="shared" si="19"/>
        <v>4</v>
      </c>
      <c r="O19">
        <f>COUNTIF(O2:O17,$A32)</f>
        <v>2</v>
      </c>
      <c r="U19">
        <f>SUM(U2:U16)</f>
        <v>95</v>
      </c>
      <c r="V19">
        <f t="shared" ref="V19:AI19" si="20">SUM(V2:V16)</f>
        <v>84</v>
      </c>
      <c r="W19">
        <f t="shared" si="20"/>
        <v>75</v>
      </c>
      <c r="X19">
        <f t="shared" si="20"/>
        <v>66</v>
      </c>
      <c r="Y19">
        <f t="shared" si="20"/>
        <v>58</v>
      </c>
      <c r="Z19">
        <f t="shared" si="20"/>
        <v>50</v>
      </c>
      <c r="AA19">
        <f t="shared" si="20"/>
        <v>44</v>
      </c>
      <c r="AB19">
        <f t="shared" si="20"/>
        <v>38</v>
      </c>
      <c r="AC19">
        <f t="shared" si="20"/>
        <v>32</v>
      </c>
      <c r="AD19">
        <f t="shared" si="20"/>
        <v>28</v>
      </c>
      <c r="AE19">
        <f t="shared" si="20"/>
        <v>26</v>
      </c>
      <c r="AF19">
        <f t="shared" si="20"/>
        <v>21</v>
      </c>
      <c r="AG19">
        <f t="shared" si="20"/>
        <v>14</v>
      </c>
      <c r="AH19">
        <f t="shared" si="20"/>
        <v>8</v>
      </c>
      <c r="AI19">
        <f t="shared" si="20"/>
        <v>2</v>
      </c>
      <c r="AJ19">
        <f>SUM(U19:AI19)</f>
        <v>641</v>
      </c>
    </row>
    <row r="20" spans="1:36" x14ac:dyDescent="0.3">
      <c r="A20" t="s">
        <v>27</v>
      </c>
      <c r="B20">
        <f>COUNTIF(B2:B17,$A30)</f>
        <v>5</v>
      </c>
      <c r="C20">
        <f t="shared" ref="C20:N20" si="21">COUNTIF(C2:C17,$A20)</f>
        <v>2</v>
      </c>
      <c r="D20">
        <f t="shared" si="21"/>
        <v>5</v>
      </c>
      <c r="E20">
        <f t="shared" si="21"/>
        <v>7</v>
      </c>
      <c r="F20">
        <f t="shared" si="21"/>
        <v>4</v>
      </c>
      <c r="G20">
        <f t="shared" si="21"/>
        <v>3</v>
      </c>
      <c r="H20">
        <f t="shared" si="21"/>
        <v>5</v>
      </c>
      <c r="I20">
        <f t="shared" si="21"/>
        <v>5</v>
      </c>
      <c r="J20">
        <f t="shared" si="21"/>
        <v>3</v>
      </c>
      <c r="K20">
        <f t="shared" si="21"/>
        <v>3</v>
      </c>
      <c r="L20">
        <f t="shared" si="21"/>
        <v>4</v>
      </c>
      <c r="M20">
        <f t="shared" si="21"/>
        <v>5</v>
      </c>
      <c r="N20">
        <f t="shared" si="21"/>
        <v>4</v>
      </c>
      <c r="O20">
        <f>COUNTIF(O2:O17,$A33)</f>
        <v>3</v>
      </c>
    </row>
    <row r="21" spans="1:36" x14ac:dyDescent="0.3">
      <c r="A21" t="s">
        <v>29</v>
      </c>
      <c r="B21">
        <f>COUNTIF(B2:B17,$A31)</f>
        <v>4</v>
      </c>
      <c r="C21">
        <f t="shared" ref="C21:N21" si="22">COUNTIF(C2:C17,$A21)</f>
        <v>12</v>
      </c>
      <c r="D21">
        <f t="shared" si="22"/>
        <v>7</v>
      </c>
      <c r="E21">
        <f t="shared" si="22"/>
        <v>4</v>
      </c>
      <c r="F21">
        <f t="shared" si="22"/>
        <v>8</v>
      </c>
      <c r="G21">
        <f t="shared" si="22"/>
        <v>3</v>
      </c>
      <c r="H21">
        <f t="shared" si="22"/>
        <v>5</v>
      </c>
      <c r="I21">
        <f t="shared" si="22"/>
        <v>4</v>
      </c>
      <c r="J21">
        <f t="shared" si="22"/>
        <v>11</v>
      </c>
      <c r="K21">
        <f t="shared" si="22"/>
        <v>11</v>
      </c>
      <c r="L21">
        <f t="shared" si="22"/>
        <v>3</v>
      </c>
      <c r="M21">
        <f t="shared" si="22"/>
        <v>7</v>
      </c>
      <c r="N21">
        <f t="shared" si="22"/>
        <v>8</v>
      </c>
      <c r="O21">
        <f>COUNTIF(O2:O17,$A34)</f>
        <v>11</v>
      </c>
      <c r="R21" t="s">
        <v>100</v>
      </c>
      <c r="U21" t="s">
        <v>101</v>
      </c>
    </row>
    <row r="22" spans="1:36" x14ac:dyDescent="0.3">
      <c r="B22">
        <f>SUM(B19:B21)</f>
        <v>16</v>
      </c>
      <c r="C22">
        <f t="shared" ref="C22:O22" si="23">SUM(C19:C21)</f>
        <v>16</v>
      </c>
      <c r="D22">
        <f t="shared" si="23"/>
        <v>16</v>
      </c>
      <c r="E22">
        <f t="shared" si="23"/>
        <v>16</v>
      </c>
      <c r="F22">
        <f t="shared" si="23"/>
        <v>16</v>
      </c>
      <c r="G22">
        <f t="shared" si="23"/>
        <v>16</v>
      </c>
      <c r="H22">
        <f t="shared" si="23"/>
        <v>16</v>
      </c>
      <c r="I22">
        <f t="shared" si="23"/>
        <v>16</v>
      </c>
      <c r="J22">
        <f t="shared" si="23"/>
        <v>16</v>
      </c>
      <c r="K22">
        <f t="shared" si="23"/>
        <v>16</v>
      </c>
      <c r="L22">
        <f t="shared" si="23"/>
        <v>16</v>
      </c>
      <c r="M22">
        <f t="shared" si="23"/>
        <v>16</v>
      </c>
      <c r="N22">
        <f t="shared" si="23"/>
        <v>16</v>
      </c>
      <c r="O22">
        <f t="shared" si="23"/>
        <v>16</v>
      </c>
      <c r="Q22">
        <v>0</v>
      </c>
      <c r="R22">
        <f>COUNTIFS(C$55:O$67,Q54)</f>
        <v>1</v>
      </c>
      <c r="T22">
        <v>0</v>
      </c>
      <c r="U22">
        <f ca="1">AA55</f>
        <v>104</v>
      </c>
    </row>
    <row r="23" spans="1:36" x14ac:dyDescent="0.3">
      <c r="A23" t="s">
        <v>44</v>
      </c>
      <c r="B23">
        <f>Sheet1!R2</f>
        <v>16</v>
      </c>
      <c r="C23">
        <f>Sheet1!R3</f>
        <v>12</v>
      </c>
      <c r="D23">
        <f>Sheet1!R4</f>
        <v>8</v>
      </c>
      <c r="E23">
        <f>Sheet1!R5</f>
        <v>20</v>
      </c>
      <c r="F23">
        <f>Sheet1!R6</f>
        <v>16</v>
      </c>
      <c r="G23">
        <f>Sheet1!R7</f>
        <v>16</v>
      </c>
      <c r="H23">
        <f>Sheet1!R8</f>
        <v>15</v>
      </c>
      <c r="I23">
        <f>Sheet1!R9</f>
        <v>10</v>
      </c>
      <c r="J23">
        <f>Sheet1!R10</f>
        <v>18</v>
      </c>
      <c r="K23">
        <f>Sheet1!R11</f>
        <v>13</v>
      </c>
      <c r="L23">
        <f>Sheet1!R12</f>
        <v>12</v>
      </c>
      <c r="M23">
        <f>Sheet1!R13</f>
        <v>8</v>
      </c>
      <c r="N23">
        <f>Sheet1!R14</f>
        <v>12</v>
      </c>
      <c r="O23">
        <f>Sheet1!R15</f>
        <v>17</v>
      </c>
      <c r="Q23">
        <v>1</v>
      </c>
      <c r="R23">
        <f t="shared" ref="R23:R32" si="24">COUNTIFS(C$55:O$67,Q55)</f>
        <v>15</v>
      </c>
      <c r="T23">
        <v>1</v>
      </c>
      <c r="U23">
        <f t="shared" ref="U23:U32" ca="1" si="25">AA56</f>
        <v>149</v>
      </c>
    </row>
    <row r="24" spans="1:36" x14ac:dyDescent="0.3">
      <c r="A24" t="s">
        <v>45</v>
      </c>
      <c r="B24">
        <f>Sheet1!S2</f>
        <v>9</v>
      </c>
      <c r="C24">
        <f>Sheet1!S3</f>
        <v>10</v>
      </c>
      <c r="D24">
        <f>Sheet1!S4</f>
        <v>10</v>
      </c>
      <c r="E24">
        <f>Sheet1!S5</f>
        <v>7</v>
      </c>
      <c r="F24">
        <f>Sheet1!S6</f>
        <v>8</v>
      </c>
      <c r="G24">
        <f>Sheet1!S7</f>
        <v>8</v>
      </c>
      <c r="H24">
        <f>Sheet1!S8</f>
        <v>10</v>
      </c>
      <c r="I24">
        <f>Sheet1!S9</f>
        <v>8</v>
      </c>
      <c r="J24">
        <f>Sheet1!S10</f>
        <v>6</v>
      </c>
      <c r="K24">
        <f>Sheet1!S11</f>
        <v>9</v>
      </c>
      <c r="L24">
        <f>Sheet1!S12</f>
        <v>11</v>
      </c>
      <c r="M24">
        <f>Sheet1!S13</f>
        <v>10</v>
      </c>
      <c r="N24">
        <f>Sheet1!S14</f>
        <v>9</v>
      </c>
      <c r="O24">
        <f>Sheet1!S15</f>
        <v>6</v>
      </c>
      <c r="Q24">
        <v>2</v>
      </c>
      <c r="R24">
        <f t="shared" si="24"/>
        <v>21</v>
      </c>
      <c r="T24">
        <v>2</v>
      </c>
      <c r="U24">
        <f t="shared" ca="1" si="25"/>
        <v>69</v>
      </c>
    </row>
    <row r="25" spans="1:36" x14ac:dyDescent="0.3">
      <c r="A25" t="s">
        <v>46</v>
      </c>
      <c r="B25">
        <f>Sheet1!T2</f>
        <v>7</v>
      </c>
      <c r="C25">
        <f>Sheet1!T3</f>
        <v>10</v>
      </c>
      <c r="D25">
        <f>Sheet1!T4</f>
        <v>14</v>
      </c>
      <c r="E25">
        <f>Sheet1!T5</f>
        <v>5</v>
      </c>
      <c r="F25">
        <f>Sheet1!T6</f>
        <v>8</v>
      </c>
      <c r="G25">
        <f>Sheet1!T7</f>
        <v>8</v>
      </c>
      <c r="H25">
        <f>Sheet1!T8</f>
        <v>7</v>
      </c>
      <c r="I25">
        <f>Sheet1!T9</f>
        <v>14</v>
      </c>
      <c r="J25">
        <f>Sheet1!T10</f>
        <v>8</v>
      </c>
      <c r="K25">
        <f>Sheet1!T11</f>
        <v>10</v>
      </c>
      <c r="L25">
        <f>Sheet1!T12</f>
        <v>9</v>
      </c>
      <c r="M25">
        <f>Sheet1!T13</f>
        <v>14</v>
      </c>
      <c r="N25">
        <f>Sheet1!T14</f>
        <v>11</v>
      </c>
      <c r="O25">
        <f>Sheet1!T15</f>
        <v>9</v>
      </c>
      <c r="Q25">
        <v>3</v>
      </c>
      <c r="R25">
        <f t="shared" si="24"/>
        <v>19</v>
      </c>
      <c r="T25">
        <v>3</v>
      </c>
      <c r="U25">
        <f t="shared" ca="1" si="25"/>
        <v>32</v>
      </c>
    </row>
    <row r="26" spans="1:36" x14ac:dyDescent="0.3">
      <c r="B26">
        <f>B19-B23</f>
        <v>-9</v>
      </c>
      <c r="C26">
        <f t="shared" ref="C26:O26" si="26">C19-C23</f>
        <v>-10</v>
      </c>
      <c r="D26">
        <f t="shared" si="26"/>
        <v>-4</v>
      </c>
      <c r="E26">
        <f t="shared" si="26"/>
        <v>-15</v>
      </c>
      <c r="F26">
        <f t="shared" si="26"/>
        <v>-12</v>
      </c>
      <c r="G26">
        <f t="shared" si="26"/>
        <v>-6</v>
      </c>
      <c r="H26">
        <f t="shared" si="26"/>
        <v>-9</v>
      </c>
      <c r="I26">
        <f t="shared" si="26"/>
        <v>-3</v>
      </c>
      <c r="J26">
        <f t="shared" si="26"/>
        <v>-16</v>
      </c>
      <c r="K26">
        <f t="shared" si="26"/>
        <v>-11</v>
      </c>
      <c r="L26">
        <f t="shared" si="26"/>
        <v>-3</v>
      </c>
      <c r="M26">
        <f t="shared" si="26"/>
        <v>-4</v>
      </c>
      <c r="N26">
        <f t="shared" si="26"/>
        <v>-8</v>
      </c>
      <c r="O26">
        <f t="shared" si="26"/>
        <v>-15</v>
      </c>
      <c r="Q26">
        <v>4</v>
      </c>
      <c r="R26">
        <f t="shared" si="24"/>
        <v>17</v>
      </c>
      <c r="T26">
        <v>4</v>
      </c>
      <c r="U26">
        <f t="shared" ca="1" si="25"/>
        <v>8</v>
      </c>
    </row>
    <row r="27" spans="1:36" x14ac:dyDescent="0.3">
      <c r="B27">
        <f t="shared" ref="B27:O28" si="27">B20-B24</f>
        <v>-4</v>
      </c>
      <c r="C27">
        <f t="shared" si="27"/>
        <v>-8</v>
      </c>
      <c r="D27">
        <f t="shared" si="27"/>
        <v>-5</v>
      </c>
      <c r="E27">
        <f t="shared" si="27"/>
        <v>0</v>
      </c>
      <c r="F27">
        <f t="shared" si="27"/>
        <v>-4</v>
      </c>
      <c r="G27">
        <f t="shared" si="27"/>
        <v>-5</v>
      </c>
      <c r="H27">
        <f t="shared" si="27"/>
        <v>-5</v>
      </c>
      <c r="I27">
        <f t="shared" si="27"/>
        <v>-3</v>
      </c>
      <c r="J27">
        <f t="shared" si="27"/>
        <v>-3</v>
      </c>
      <c r="K27">
        <f t="shared" si="27"/>
        <v>-6</v>
      </c>
      <c r="L27">
        <f t="shared" si="27"/>
        <v>-7</v>
      </c>
      <c r="M27">
        <f t="shared" si="27"/>
        <v>-5</v>
      </c>
      <c r="N27">
        <f t="shared" si="27"/>
        <v>-5</v>
      </c>
      <c r="O27">
        <f t="shared" si="27"/>
        <v>-3</v>
      </c>
      <c r="Q27">
        <v>5</v>
      </c>
      <c r="R27">
        <f t="shared" si="24"/>
        <v>10</v>
      </c>
      <c r="T27">
        <v>5</v>
      </c>
      <c r="U27">
        <f t="shared" ca="1" si="25"/>
        <v>2</v>
      </c>
    </row>
    <row r="28" spans="1:36" x14ac:dyDescent="0.3">
      <c r="B28">
        <f t="shared" si="27"/>
        <v>-3</v>
      </c>
      <c r="C28">
        <f t="shared" si="27"/>
        <v>2</v>
      </c>
      <c r="D28">
        <f t="shared" si="27"/>
        <v>-7</v>
      </c>
      <c r="E28">
        <f t="shared" si="27"/>
        <v>-1</v>
      </c>
      <c r="F28">
        <f t="shared" si="27"/>
        <v>0</v>
      </c>
      <c r="G28">
        <f t="shared" si="27"/>
        <v>-5</v>
      </c>
      <c r="H28">
        <f t="shared" si="27"/>
        <v>-2</v>
      </c>
      <c r="I28">
        <f t="shared" si="27"/>
        <v>-10</v>
      </c>
      <c r="J28">
        <f t="shared" si="27"/>
        <v>3</v>
      </c>
      <c r="K28">
        <f t="shared" si="27"/>
        <v>1</v>
      </c>
      <c r="L28">
        <f t="shared" si="27"/>
        <v>-6</v>
      </c>
      <c r="M28">
        <f t="shared" si="27"/>
        <v>-7</v>
      </c>
      <c r="N28">
        <f t="shared" si="27"/>
        <v>-3</v>
      </c>
      <c r="O28">
        <f t="shared" si="27"/>
        <v>2</v>
      </c>
      <c r="P28">
        <f>SUMIF(B26:O28,"&lt;0")</f>
        <v>-232</v>
      </c>
      <c r="Q28">
        <v>6</v>
      </c>
      <c r="R28">
        <f t="shared" si="24"/>
        <v>6</v>
      </c>
      <c r="T28">
        <v>6</v>
      </c>
      <c r="U28">
        <f t="shared" ca="1" si="25"/>
        <v>0</v>
      </c>
    </row>
    <row r="29" spans="1:36" x14ac:dyDescent="0.3">
      <c r="A29" s="1" t="s">
        <v>25</v>
      </c>
      <c r="Q29">
        <v>7</v>
      </c>
      <c r="R29">
        <f t="shared" si="24"/>
        <v>2</v>
      </c>
      <c r="T29">
        <v>7</v>
      </c>
      <c r="U29">
        <f t="shared" ca="1" si="25"/>
        <v>0</v>
      </c>
    </row>
    <row r="30" spans="1:36" x14ac:dyDescent="0.3">
      <c r="A30" s="1" t="s">
        <v>26</v>
      </c>
      <c r="Q30">
        <v>8</v>
      </c>
      <c r="R30">
        <f t="shared" si="24"/>
        <v>0</v>
      </c>
      <c r="T30">
        <v>8</v>
      </c>
      <c r="U30">
        <f t="shared" ca="1" si="25"/>
        <v>0</v>
      </c>
    </row>
    <row r="31" spans="1:36" x14ac:dyDescent="0.3">
      <c r="A31" s="1" t="s">
        <v>24</v>
      </c>
      <c r="Q31">
        <v>9</v>
      </c>
      <c r="R31">
        <f t="shared" si="24"/>
        <v>0</v>
      </c>
      <c r="T31">
        <v>9</v>
      </c>
      <c r="U31">
        <f t="shared" ca="1" si="25"/>
        <v>0</v>
      </c>
    </row>
    <row r="32" spans="1:36" x14ac:dyDescent="0.3">
      <c r="A32" t="s">
        <v>30</v>
      </c>
      <c r="Q32">
        <v>10</v>
      </c>
      <c r="R32">
        <f t="shared" si="24"/>
        <v>0</v>
      </c>
      <c r="T32">
        <v>10</v>
      </c>
      <c r="U32">
        <f t="shared" si="25"/>
        <v>0</v>
      </c>
    </row>
    <row r="33" spans="1:15" x14ac:dyDescent="0.3">
      <c r="A33" t="s">
        <v>32</v>
      </c>
    </row>
    <row r="34" spans="1:15" x14ac:dyDescent="0.3">
      <c r="A34" t="s">
        <v>31</v>
      </c>
    </row>
    <row r="35" spans="1:15" x14ac:dyDescent="0.3">
      <c r="B35" t="s">
        <v>83</v>
      </c>
    </row>
    <row r="36" spans="1:15" x14ac:dyDescent="0.3"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J36">
        <v>9</v>
      </c>
      <c r="K36">
        <v>10</v>
      </c>
      <c r="L36">
        <v>11</v>
      </c>
      <c r="M36">
        <v>12</v>
      </c>
      <c r="N36">
        <v>13</v>
      </c>
      <c r="O36">
        <v>14</v>
      </c>
    </row>
    <row r="37" spans="1:15" x14ac:dyDescent="0.3">
      <c r="A37">
        <v>1</v>
      </c>
      <c r="B37" t="str">
        <f>IF(B2&lt;&gt;B$18,"X","")</f>
        <v>X</v>
      </c>
      <c r="C37" t="str">
        <f t="shared" ref="C37:O37" si="28">IF(C2&lt;&gt;C$18,"X","")</f>
        <v/>
      </c>
      <c r="D37" t="str">
        <f t="shared" si="28"/>
        <v/>
      </c>
      <c r="E37" t="str">
        <f t="shared" si="28"/>
        <v/>
      </c>
      <c r="F37" t="str">
        <f t="shared" si="28"/>
        <v>X</v>
      </c>
      <c r="G37" t="str">
        <f t="shared" si="28"/>
        <v>X</v>
      </c>
      <c r="H37" t="str">
        <f t="shared" si="28"/>
        <v/>
      </c>
      <c r="I37" t="str">
        <f t="shared" si="28"/>
        <v>X</v>
      </c>
      <c r="J37" t="str">
        <f t="shared" si="28"/>
        <v/>
      </c>
      <c r="K37" t="str">
        <f t="shared" si="28"/>
        <v>X</v>
      </c>
      <c r="L37" t="str">
        <f t="shared" si="28"/>
        <v/>
      </c>
      <c r="M37" t="str">
        <f t="shared" si="28"/>
        <v/>
      </c>
      <c r="N37" t="str">
        <f t="shared" si="28"/>
        <v/>
      </c>
      <c r="O37" t="str">
        <f t="shared" si="28"/>
        <v>X</v>
      </c>
    </row>
    <row r="38" spans="1:15" x14ac:dyDescent="0.3">
      <c r="A38">
        <v>2</v>
      </c>
      <c r="B38" t="str">
        <f t="shared" ref="B38:O52" si="29">IF(B3&lt;&gt;B$18,"X","")</f>
        <v/>
      </c>
      <c r="C38" t="str">
        <f t="shared" si="29"/>
        <v/>
      </c>
      <c r="D38" t="str">
        <f t="shared" si="29"/>
        <v>X</v>
      </c>
      <c r="E38" t="str">
        <f t="shared" si="29"/>
        <v/>
      </c>
      <c r="F38" t="str">
        <f t="shared" si="29"/>
        <v/>
      </c>
      <c r="G38" t="str">
        <f t="shared" si="29"/>
        <v/>
      </c>
      <c r="H38" t="str">
        <f t="shared" si="29"/>
        <v>X</v>
      </c>
      <c r="I38" t="str">
        <f t="shared" si="29"/>
        <v/>
      </c>
      <c r="J38" t="str">
        <f t="shared" si="29"/>
        <v>X</v>
      </c>
      <c r="K38" t="str">
        <f t="shared" si="29"/>
        <v/>
      </c>
      <c r="L38" t="str">
        <f t="shared" si="29"/>
        <v>X</v>
      </c>
      <c r="M38" t="str">
        <f t="shared" si="29"/>
        <v>X</v>
      </c>
      <c r="N38" t="str">
        <f t="shared" si="29"/>
        <v>X</v>
      </c>
      <c r="O38" t="str">
        <f t="shared" si="29"/>
        <v/>
      </c>
    </row>
    <row r="39" spans="1:15" x14ac:dyDescent="0.3">
      <c r="A39">
        <v>3</v>
      </c>
      <c r="B39" t="str">
        <f t="shared" si="29"/>
        <v>X</v>
      </c>
      <c r="C39" t="str">
        <f t="shared" si="29"/>
        <v>X</v>
      </c>
      <c r="D39" t="str">
        <f t="shared" si="29"/>
        <v/>
      </c>
      <c r="E39" t="str">
        <f t="shared" si="29"/>
        <v>X</v>
      </c>
      <c r="F39" t="str">
        <f t="shared" si="29"/>
        <v>X</v>
      </c>
      <c r="G39" t="str">
        <f t="shared" si="29"/>
        <v/>
      </c>
      <c r="H39" t="str">
        <f t="shared" si="29"/>
        <v>X</v>
      </c>
      <c r="I39" t="str">
        <f t="shared" si="29"/>
        <v/>
      </c>
      <c r="J39" t="str">
        <f t="shared" si="29"/>
        <v/>
      </c>
      <c r="K39" t="str">
        <f t="shared" si="29"/>
        <v/>
      </c>
      <c r="L39" t="str">
        <f t="shared" si="29"/>
        <v>X</v>
      </c>
      <c r="M39" t="str">
        <f t="shared" si="29"/>
        <v/>
      </c>
      <c r="N39" t="str">
        <f t="shared" si="29"/>
        <v/>
      </c>
      <c r="O39" t="str">
        <f t="shared" si="29"/>
        <v/>
      </c>
    </row>
    <row r="40" spans="1:15" x14ac:dyDescent="0.3">
      <c r="A40">
        <v>4</v>
      </c>
      <c r="B40" t="str">
        <f t="shared" si="29"/>
        <v/>
      </c>
      <c r="C40" t="str">
        <f t="shared" si="29"/>
        <v/>
      </c>
      <c r="D40" t="str">
        <f t="shared" si="29"/>
        <v>X</v>
      </c>
      <c r="E40" t="str">
        <f t="shared" si="29"/>
        <v/>
      </c>
      <c r="F40" t="str">
        <f t="shared" si="29"/>
        <v/>
      </c>
      <c r="G40" t="str">
        <f t="shared" si="29"/>
        <v/>
      </c>
      <c r="H40" t="str">
        <f t="shared" si="29"/>
        <v/>
      </c>
      <c r="I40" t="str">
        <f t="shared" si="29"/>
        <v>X</v>
      </c>
      <c r="J40" t="str">
        <f t="shared" si="29"/>
        <v>X</v>
      </c>
      <c r="K40" t="str">
        <f t="shared" si="29"/>
        <v>X</v>
      </c>
      <c r="L40" t="str">
        <f t="shared" si="29"/>
        <v/>
      </c>
      <c r="M40" t="str">
        <f t="shared" si="29"/>
        <v>X</v>
      </c>
      <c r="N40" t="str">
        <f t="shared" si="29"/>
        <v>X</v>
      </c>
      <c r="O40" t="str">
        <f t="shared" si="29"/>
        <v>X</v>
      </c>
    </row>
    <row r="41" spans="1:15" x14ac:dyDescent="0.3">
      <c r="A41">
        <v>5</v>
      </c>
      <c r="B41" t="str">
        <f t="shared" si="29"/>
        <v/>
      </c>
      <c r="C41" t="str">
        <f t="shared" si="29"/>
        <v>X</v>
      </c>
      <c r="D41" t="str">
        <f t="shared" si="29"/>
        <v/>
      </c>
      <c r="E41" t="str">
        <f t="shared" si="29"/>
        <v>X</v>
      </c>
      <c r="F41" t="str">
        <f t="shared" si="29"/>
        <v/>
      </c>
      <c r="G41" t="str">
        <f t="shared" si="29"/>
        <v>X</v>
      </c>
      <c r="H41" t="str">
        <f t="shared" si="29"/>
        <v/>
      </c>
      <c r="I41" t="str">
        <f t="shared" si="29"/>
        <v>X</v>
      </c>
      <c r="J41" t="str">
        <f t="shared" si="29"/>
        <v/>
      </c>
      <c r="K41" t="str">
        <f t="shared" si="29"/>
        <v/>
      </c>
      <c r="L41" t="str">
        <f t="shared" si="29"/>
        <v/>
      </c>
      <c r="M41" t="str">
        <f t="shared" si="29"/>
        <v>X</v>
      </c>
      <c r="N41" t="str">
        <f t="shared" si="29"/>
        <v/>
      </c>
      <c r="O41" t="str">
        <f t="shared" si="29"/>
        <v>X</v>
      </c>
    </row>
    <row r="42" spans="1:15" x14ac:dyDescent="0.3">
      <c r="A42">
        <v>6</v>
      </c>
      <c r="B42" t="str">
        <f t="shared" si="29"/>
        <v>X</v>
      </c>
      <c r="C42" t="str">
        <f t="shared" si="29"/>
        <v>X</v>
      </c>
      <c r="D42" t="str">
        <f t="shared" si="29"/>
        <v/>
      </c>
      <c r="E42" t="str">
        <f t="shared" si="29"/>
        <v>X</v>
      </c>
      <c r="F42" t="str">
        <f t="shared" si="29"/>
        <v>X</v>
      </c>
      <c r="G42" t="str">
        <f t="shared" si="29"/>
        <v/>
      </c>
      <c r="H42" t="str">
        <f t="shared" si="29"/>
        <v>X</v>
      </c>
      <c r="I42" t="str">
        <f t="shared" si="29"/>
        <v/>
      </c>
      <c r="J42" t="str">
        <f t="shared" si="29"/>
        <v>X</v>
      </c>
      <c r="K42" t="str">
        <f t="shared" si="29"/>
        <v/>
      </c>
      <c r="L42" t="str">
        <f t="shared" si="29"/>
        <v/>
      </c>
      <c r="M42" t="str">
        <f t="shared" si="29"/>
        <v/>
      </c>
      <c r="N42" t="str">
        <f t="shared" si="29"/>
        <v>X</v>
      </c>
      <c r="O42" t="str">
        <f t="shared" si="29"/>
        <v/>
      </c>
    </row>
    <row r="43" spans="1:15" x14ac:dyDescent="0.3">
      <c r="A43">
        <v>7</v>
      </c>
      <c r="B43" t="str">
        <f t="shared" si="29"/>
        <v/>
      </c>
      <c r="C43" t="str">
        <f t="shared" si="29"/>
        <v/>
      </c>
      <c r="D43" t="str">
        <f t="shared" si="29"/>
        <v>X</v>
      </c>
      <c r="E43" t="str">
        <f t="shared" si="29"/>
        <v>X</v>
      </c>
      <c r="F43" t="str">
        <f t="shared" si="29"/>
        <v/>
      </c>
      <c r="G43" t="str">
        <f t="shared" si="29"/>
        <v>X</v>
      </c>
      <c r="H43" t="str">
        <f t="shared" si="29"/>
        <v/>
      </c>
      <c r="I43" t="str">
        <f t="shared" si="29"/>
        <v/>
      </c>
      <c r="J43" t="str">
        <f t="shared" si="29"/>
        <v/>
      </c>
      <c r="K43" t="str">
        <f t="shared" si="29"/>
        <v>X</v>
      </c>
      <c r="L43" t="str">
        <f t="shared" si="29"/>
        <v>X</v>
      </c>
      <c r="M43" t="str">
        <f t="shared" si="29"/>
        <v>X</v>
      </c>
      <c r="N43" t="str">
        <f t="shared" si="29"/>
        <v/>
      </c>
      <c r="O43" t="str">
        <f t="shared" si="29"/>
        <v>X</v>
      </c>
    </row>
    <row r="44" spans="1:15" x14ac:dyDescent="0.3">
      <c r="A44">
        <v>8</v>
      </c>
      <c r="B44" t="str">
        <f t="shared" si="29"/>
        <v/>
      </c>
      <c r="C44" t="str">
        <f t="shared" si="29"/>
        <v>X</v>
      </c>
      <c r="D44" t="str">
        <f t="shared" si="29"/>
        <v/>
      </c>
      <c r="E44" t="str">
        <f t="shared" si="29"/>
        <v/>
      </c>
      <c r="F44" t="str">
        <f t="shared" si="29"/>
        <v>X</v>
      </c>
      <c r="G44" t="str">
        <f t="shared" si="29"/>
        <v>X</v>
      </c>
      <c r="H44" t="str">
        <f t="shared" si="29"/>
        <v>X</v>
      </c>
      <c r="I44" t="str">
        <f t="shared" si="29"/>
        <v>X</v>
      </c>
      <c r="J44" t="str">
        <f t="shared" si="29"/>
        <v>X</v>
      </c>
      <c r="K44" t="str">
        <f t="shared" si="29"/>
        <v>X</v>
      </c>
      <c r="L44" t="str">
        <f t="shared" si="29"/>
        <v/>
      </c>
      <c r="M44" t="str">
        <f t="shared" si="29"/>
        <v/>
      </c>
      <c r="N44" t="str">
        <f t="shared" si="29"/>
        <v/>
      </c>
      <c r="O44" t="str">
        <f t="shared" si="29"/>
        <v/>
      </c>
    </row>
    <row r="45" spans="1:15" x14ac:dyDescent="0.3">
      <c r="A45">
        <v>9</v>
      </c>
      <c r="B45" t="str">
        <f t="shared" si="29"/>
        <v>X</v>
      </c>
      <c r="C45" t="str">
        <f t="shared" si="29"/>
        <v/>
      </c>
      <c r="D45" t="str">
        <f t="shared" si="29"/>
        <v>X</v>
      </c>
      <c r="E45" t="str">
        <f t="shared" si="29"/>
        <v>X</v>
      </c>
      <c r="F45" t="str">
        <f t="shared" si="29"/>
        <v/>
      </c>
      <c r="G45" t="str">
        <f t="shared" si="29"/>
        <v/>
      </c>
      <c r="H45" t="str">
        <f t="shared" si="29"/>
        <v>X</v>
      </c>
      <c r="I45" t="str">
        <f t="shared" si="29"/>
        <v/>
      </c>
      <c r="J45" t="str">
        <f t="shared" si="29"/>
        <v/>
      </c>
      <c r="K45" t="str">
        <f t="shared" si="29"/>
        <v/>
      </c>
      <c r="L45" t="str">
        <f t="shared" si="29"/>
        <v>X</v>
      </c>
      <c r="M45" t="str">
        <f t="shared" si="29"/>
        <v/>
      </c>
      <c r="N45" t="str">
        <f t="shared" si="29"/>
        <v>X</v>
      </c>
      <c r="O45" t="str">
        <f t="shared" si="29"/>
        <v/>
      </c>
    </row>
    <row r="46" spans="1:15" x14ac:dyDescent="0.3">
      <c r="A46">
        <v>10</v>
      </c>
      <c r="B46" t="str">
        <f t="shared" si="29"/>
        <v>X</v>
      </c>
      <c r="C46" t="str">
        <f t="shared" si="29"/>
        <v/>
      </c>
      <c r="D46" t="str">
        <f t="shared" si="29"/>
        <v/>
      </c>
      <c r="E46" t="str">
        <f t="shared" si="29"/>
        <v/>
      </c>
      <c r="F46" t="str">
        <f t="shared" si="29"/>
        <v>X</v>
      </c>
      <c r="G46" t="str">
        <f t="shared" si="29"/>
        <v>X</v>
      </c>
      <c r="H46" t="str">
        <f t="shared" si="29"/>
        <v/>
      </c>
      <c r="I46" t="str">
        <f t="shared" si="29"/>
        <v/>
      </c>
      <c r="J46" t="str">
        <f t="shared" si="29"/>
        <v>X</v>
      </c>
      <c r="K46" t="str">
        <f t="shared" si="29"/>
        <v>X</v>
      </c>
      <c r="L46" t="str">
        <f t="shared" si="29"/>
        <v>X</v>
      </c>
      <c r="M46" t="str">
        <f t="shared" si="29"/>
        <v/>
      </c>
      <c r="N46" t="str">
        <f t="shared" si="29"/>
        <v>X</v>
      </c>
      <c r="O46" t="str">
        <f t="shared" si="29"/>
        <v/>
      </c>
    </row>
    <row r="47" spans="1:15" x14ac:dyDescent="0.3">
      <c r="A47">
        <v>11</v>
      </c>
      <c r="B47" t="str">
        <f t="shared" si="29"/>
        <v/>
      </c>
      <c r="C47" t="str">
        <f t="shared" si="29"/>
        <v/>
      </c>
      <c r="D47" t="str">
        <f t="shared" si="29"/>
        <v>X</v>
      </c>
      <c r="E47" t="str">
        <f t="shared" si="29"/>
        <v>X</v>
      </c>
      <c r="F47" t="str">
        <f t="shared" si="29"/>
        <v>X</v>
      </c>
      <c r="G47" t="str">
        <f t="shared" si="29"/>
        <v/>
      </c>
      <c r="H47" t="str">
        <f t="shared" si="29"/>
        <v>X</v>
      </c>
      <c r="I47" t="str">
        <f t="shared" si="29"/>
        <v>X</v>
      </c>
      <c r="J47" t="str">
        <f t="shared" si="29"/>
        <v/>
      </c>
      <c r="K47" t="str">
        <f t="shared" si="29"/>
        <v/>
      </c>
      <c r="L47" t="str">
        <f t="shared" si="29"/>
        <v/>
      </c>
      <c r="M47" t="str">
        <f t="shared" si="29"/>
        <v>X</v>
      </c>
      <c r="N47" t="str">
        <f t="shared" si="29"/>
        <v/>
      </c>
      <c r="O47" t="str">
        <f t="shared" si="29"/>
        <v>X</v>
      </c>
    </row>
    <row r="48" spans="1:15" x14ac:dyDescent="0.3">
      <c r="A48">
        <v>12</v>
      </c>
      <c r="B48" t="str">
        <f t="shared" si="29"/>
        <v>X</v>
      </c>
      <c r="C48" t="str">
        <f t="shared" si="29"/>
        <v/>
      </c>
      <c r="D48" t="str">
        <f t="shared" si="29"/>
        <v>X</v>
      </c>
      <c r="E48" t="str">
        <f t="shared" si="29"/>
        <v/>
      </c>
      <c r="F48" t="str">
        <f t="shared" si="29"/>
        <v>X</v>
      </c>
      <c r="G48" t="str">
        <f t="shared" si="29"/>
        <v>X</v>
      </c>
      <c r="H48" t="str">
        <f t="shared" si="29"/>
        <v/>
      </c>
      <c r="I48" t="str">
        <f t="shared" si="29"/>
        <v>X</v>
      </c>
      <c r="J48" t="str">
        <f t="shared" si="29"/>
        <v/>
      </c>
      <c r="K48" t="str">
        <f t="shared" si="29"/>
        <v/>
      </c>
      <c r="L48" t="str">
        <f t="shared" si="29"/>
        <v/>
      </c>
      <c r="M48" t="str">
        <f t="shared" si="29"/>
        <v>X</v>
      </c>
      <c r="N48" t="str">
        <f t="shared" si="29"/>
        <v>X</v>
      </c>
      <c r="O48" t="str">
        <f t="shared" si="29"/>
        <v/>
      </c>
    </row>
    <row r="49" spans="1:27" x14ac:dyDescent="0.3">
      <c r="A49">
        <v>13</v>
      </c>
      <c r="B49" t="str">
        <f t="shared" si="29"/>
        <v/>
      </c>
      <c r="C49" t="str">
        <f t="shared" si="29"/>
        <v/>
      </c>
      <c r="D49" t="str">
        <f t="shared" si="29"/>
        <v>X</v>
      </c>
      <c r="E49" t="str">
        <f t="shared" si="29"/>
        <v>X</v>
      </c>
      <c r="F49" t="str">
        <f t="shared" si="29"/>
        <v/>
      </c>
      <c r="G49" t="str">
        <f t="shared" si="29"/>
        <v/>
      </c>
      <c r="H49" t="str">
        <f t="shared" si="29"/>
        <v>X</v>
      </c>
      <c r="I49" t="str">
        <f t="shared" si="29"/>
        <v>X</v>
      </c>
      <c r="J49" t="str">
        <f t="shared" si="29"/>
        <v/>
      </c>
      <c r="K49" t="str">
        <f t="shared" si="29"/>
        <v/>
      </c>
      <c r="L49" t="str">
        <f t="shared" si="29"/>
        <v>X</v>
      </c>
      <c r="M49" t="str">
        <f t="shared" si="29"/>
        <v/>
      </c>
      <c r="N49" t="str">
        <f t="shared" si="29"/>
        <v>X</v>
      </c>
      <c r="O49" t="str">
        <f t="shared" si="29"/>
        <v/>
      </c>
    </row>
    <row r="50" spans="1:27" x14ac:dyDescent="0.3">
      <c r="A50">
        <v>14</v>
      </c>
      <c r="B50" t="str">
        <f t="shared" si="29"/>
        <v>X</v>
      </c>
      <c r="C50" t="str">
        <f t="shared" si="29"/>
        <v/>
      </c>
      <c r="D50" t="str">
        <f t="shared" si="29"/>
        <v/>
      </c>
      <c r="E50" t="str">
        <f t="shared" si="29"/>
        <v>X</v>
      </c>
      <c r="F50" t="str">
        <f t="shared" si="29"/>
        <v>X</v>
      </c>
      <c r="G50" t="str">
        <f t="shared" si="29"/>
        <v/>
      </c>
      <c r="H50" t="str">
        <f t="shared" si="29"/>
        <v>X</v>
      </c>
      <c r="I50" t="str">
        <f t="shared" si="29"/>
        <v/>
      </c>
      <c r="J50" t="str">
        <f t="shared" si="29"/>
        <v/>
      </c>
      <c r="K50" t="str">
        <f t="shared" si="29"/>
        <v/>
      </c>
      <c r="L50" t="str">
        <f t="shared" si="29"/>
        <v>X</v>
      </c>
      <c r="M50" t="str">
        <f t="shared" si="29"/>
        <v>X</v>
      </c>
      <c r="N50" t="str">
        <f t="shared" si="29"/>
        <v/>
      </c>
      <c r="O50" t="str">
        <f t="shared" si="29"/>
        <v/>
      </c>
    </row>
    <row r="51" spans="1:27" x14ac:dyDescent="0.3">
      <c r="A51">
        <v>15</v>
      </c>
      <c r="B51" t="str">
        <f t="shared" si="29"/>
        <v>X</v>
      </c>
      <c r="C51" t="str">
        <f t="shared" si="29"/>
        <v/>
      </c>
      <c r="D51" t="str">
        <f t="shared" si="29"/>
        <v>X</v>
      </c>
      <c r="E51" t="str">
        <f t="shared" si="29"/>
        <v/>
      </c>
      <c r="F51" t="str">
        <f t="shared" si="29"/>
        <v/>
      </c>
      <c r="G51" t="str">
        <f t="shared" si="29"/>
        <v/>
      </c>
      <c r="H51" t="str">
        <f t="shared" si="29"/>
        <v>X</v>
      </c>
      <c r="I51" t="str">
        <f t="shared" si="29"/>
        <v>X</v>
      </c>
      <c r="J51" t="str">
        <f t="shared" si="29"/>
        <v/>
      </c>
      <c r="K51" t="str">
        <f t="shared" si="29"/>
        <v/>
      </c>
      <c r="L51" t="str">
        <f t="shared" si="29"/>
        <v/>
      </c>
      <c r="M51" t="str">
        <f t="shared" si="29"/>
        <v>X</v>
      </c>
      <c r="N51" t="str">
        <f t="shared" si="29"/>
        <v>X</v>
      </c>
      <c r="O51" t="str">
        <f t="shared" si="29"/>
        <v/>
      </c>
    </row>
    <row r="52" spans="1:27" x14ac:dyDescent="0.3">
      <c r="A52">
        <v>16</v>
      </c>
      <c r="B52" t="str">
        <f t="shared" si="29"/>
        <v>X</v>
      </c>
      <c r="C52" t="str">
        <f t="shared" si="29"/>
        <v/>
      </c>
      <c r="D52" t="str">
        <f t="shared" si="29"/>
        <v>X</v>
      </c>
      <c r="E52" t="str">
        <f t="shared" si="29"/>
        <v>X</v>
      </c>
      <c r="F52" t="str">
        <f t="shared" si="29"/>
        <v/>
      </c>
      <c r="G52" t="str">
        <f t="shared" si="29"/>
        <v/>
      </c>
      <c r="H52" t="str">
        <f t="shared" si="29"/>
        <v>X</v>
      </c>
      <c r="I52" t="str">
        <f t="shared" si="29"/>
        <v>X</v>
      </c>
      <c r="J52" t="str">
        <f t="shared" si="29"/>
        <v/>
      </c>
      <c r="K52" t="str">
        <f t="shared" si="29"/>
        <v/>
      </c>
      <c r="L52" t="str">
        <f t="shared" si="29"/>
        <v/>
      </c>
      <c r="M52" t="str">
        <f t="shared" si="29"/>
        <v>X</v>
      </c>
      <c r="N52" t="str">
        <f t="shared" si="29"/>
        <v/>
      </c>
      <c r="O52" t="str">
        <f t="shared" si="29"/>
        <v/>
      </c>
    </row>
    <row r="53" spans="1:27" x14ac:dyDescent="0.3">
      <c r="B53">
        <f>COUNTIF(B37:B52,"X")</f>
        <v>9</v>
      </c>
      <c r="C53">
        <f t="shared" ref="C53:O53" si="30">COUNTIF(C37:C52,"X")</f>
        <v>4</v>
      </c>
      <c r="D53">
        <f t="shared" si="30"/>
        <v>9</v>
      </c>
      <c r="E53">
        <f t="shared" si="30"/>
        <v>9</v>
      </c>
      <c r="F53">
        <f t="shared" si="30"/>
        <v>8</v>
      </c>
      <c r="G53">
        <f t="shared" si="30"/>
        <v>6</v>
      </c>
      <c r="H53">
        <f t="shared" si="30"/>
        <v>10</v>
      </c>
      <c r="I53">
        <f t="shared" si="30"/>
        <v>9</v>
      </c>
      <c r="J53">
        <f t="shared" si="30"/>
        <v>5</v>
      </c>
      <c r="K53">
        <f t="shared" si="30"/>
        <v>5</v>
      </c>
      <c r="L53">
        <f t="shared" si="30"/>
        <v>7</v>
      </c>
      <c r="M53">
        <f t="shared" si="30"/>
        <v>9</v>
      </c>
      <c r="N53">
        <f t="shared" si="30"/>
        <v>8</v>
      </c>
      <c r="O53">
        <f t="shared" si="30"/>
        <v>5</v>
      </c>
    </row>
    <row r="54" spans="1:27" x14ac:dyDescent="0.3">
      <c r="B54" t="s">
        <v>84</v>
      </c>
      <c r="C54" s="3">
        <v>2</v>
      </c>
      <c r="D54" s="3">
        <v>3</v>
      </c>
      <c r="E54" s="3">
        <v>4</v>
      </c>
      <c r="F54" s="3">
        <v>5</v>
      </c>
      <c r="G54" s="3">
        <v>6</v>
      </c>
      <c r="H54" s="3">
        <v>7</v>
      </c>
      <c r="I54" s="3">
        <v>8</v>
      </c>
      <c r="J54" s="3">
        <v>9</v>
      </c>
      <c r="K54" s="3">
        <v>10</v>
      </c>
      <c r="L54" s="3">
        <v>11</v>
      </c>
      <c r="M54" s="3">
        <v>12</v>
      </c>
      <c r="N54" s="3">
        <v>13</v>
      </c>
      <c r="O54" s="3">
        <v>14</v>
      </c>
      <c r="Q54">
        <v>0</v>
      </c>
      <c r="R54">
        <f>COUNTIFS(C$55:O$67,Q54)</f>
        <v>1</v>
      </c>
      <c r="T54" t="s">
        <v>98</v>
      </c>
    </row>
    <row r="55" spans="1:27" x14ac:dyDescent="0.3">
      <c r="B55" s="3" t="s">
        <v>85</v>
      </c>
      <c r="C55" s="2">
        <f>SUMPRODUCT(($B37:$B52=C37:C52)*($B37:$B52&lt;&gt;""))</f>
        <v>2</v>
      </c>
      <c r="D55" s="2">
        <f>SUMPRODUCT((B$37:B$52=D$37:D$52)*(B$37:B$52&lt;&gt;""))</f>
        <v>4</v>
      </c>
      <c r="E55" s="2">
        <f t="shared" ref="E55:O55" si="31">SUMPRODUCT(($B37:$B52=E37:E52)*($B37:$B52&lt;&gt;""))</f>
        <v>5</v>
      </c>
      <c r="F55" s="2">
        <f t="shared" si="31"/>
        <v>6</v>
      </c>
      <c r="G55" s="2">
        <f t="shared" si="31"/>
        <v>3</v>
      </c>
      <c r="H55" s="2">
        <f t="shared" si="31"/>
        <v>6</v>
      </c>
      <c r="I55" s="2">
        <f t="shared" si="31"/>
        <v>4</v>
      </c>
      <c r="J55" s="2">
        <f t="shared" si="31"/>
        <v>2</v>
      </c>
      <c r="K55" s="2">
        <f t="shared" si="31"/>
        <v>2</v>
      </c>
      <c r="L55" s="2">
        <f t="shared" si="31"/>
        <v>4</v>
      </c>
      <c r="M55" s="2">
        <f t="shared" si="31"/>
        <v>4</v>
      </c>
      <c r="N55" s="2">
        <f t="shared" si="31"/>
        <v>5</v>
      </c>
      <c r="O55" s="2">
        <f t="shared" si="31"/>
        <v>1</v>
      </c>
      <c r="Q55">
        <v>1</v>
      </c>
      <c r="R55">
        <f>COUNTIFS(C$55:O$67,Q55)</f>
        <v>15</v>
      </c>
      <c r="T55">
        <v>1</v>
      </c>
      <c r="U55">
        <v>2</v>
      </c>
      <c r="V55">
        <v>3</v>
      </c>
      <c r="W55" cm="1">
        <f t="array" aca="1" ref="W55" ca="1">IF(AND(INDIRECT("B"&amp;(T55+70))="X",INDIRECT("B"&amp;(U55+70))="X",INDIRECT("B"&amp;(V55+70))="X"),1,0)+IF(AND(INDIRECT("C"&amp;(T55+70))="X",INDIRECT("C"&amp;(U55+70))="X",INDIRECT("C"&amp;(V55+70))="X"),1,0)+IF(AND(INDIRECT("D"&amp;(T55+70))="X",INDIRECT("D"&amp;(U55+70))="X",INDIRECT("D"&amp;(V55+70))="X"),1,0)+IF(AND(INDIRECT("E"&amp;(T55+70))="X",INDIRECT("E"&amp;(U55+70))="X",INDIRECT("E"&amp;(V55+70))="X"),1,0)+IF(AND(INDIRECT("F"&amp;(T55+70))="X",INDIRECT("F"&amp;(U55+70))="X",INDIRECT("F"&amp;(V55+70))="X"),1,0)+IF(AND(INDIRECT("G"&amp;(T55+70))="X",INDIRECT("G"&amp;(U55+70))="X",INDIRECT("G"&amp;(V55+70))="X"),1,0)+IF(AND(INDIRECT("H"&amp;(T55+70))="X",INDIRECT("H"&amp;(U55+70))="X",INDIRECT("H"&amp;(V55+70))="X"),1,0)+IF(AND(INDIRECT("I"&amp;(T55+70))="X",INDIRECT("I"&amp;(U55+70))="X",INDIRECT("I"&amp;(V55+70))="X"),1,0)+IF(AND(INDIRECT("J"&amp;(T55+70))="X",INDIRECT("J"&amp;(U55+70))="X",INDIRECT("J"&amp;(V55+70))="X"),1,0)+IF(AND(INDIRECT("K"&amp;(T55+70))="X",INDIRECT("K"&amp;(U55+70))="X",INDIRECT("K"&amp;(V55+70))="X"),1,0)+IF(AND(INDIRECT("L"&amp;(T55+70))="X",INDIRECT("L"&amp;(U55+70))="X",INDIRECT("L"&amp;(V55+70))="X"),1,0)+IF(AND(INDIRECT("M"&amp;(T55+70))="X",INDIRECT("M"&amp;(U55+70))="X",INDIRECT("M"&amp;(V55+70))="X"),1,0)+IF(AND(INDIRECT("N"&amp;(T55+70))="X",INDIRECT("N"&amp;(U55+70))="X",INDIRECT("N"&amp;(V55+70))="X"),1,0)+IF(AND(INDIRECT("O"&amp;(T55+70))="X",INDIRECT("O"&amp;(U55+70))="X",INDIRECT("O"&amp;(V55+70))="X"),1,0)+IF(AND(INDIRECT("P"&amp;(T55+70))="X",INDIRECT("P"&amp;(U55+70))="X",INDIRECT("P"&amp;(V55+70))="X"),1,0)+IF(AND(INDIRECT("Q"&amp;(T55+70))="X",INDIRECT("Q"&amp;(U55+70))="X",INDIRECT("Q"&amp;(V55+70))="X"),1,0)</f>
        <v>0</v>
      </c>
      <c r="Y55" t="str" cm="1">
        <f t="array" aca="1" ref="Y55" ca="1">INDIRECT("B"&amp;(U55+42))</f>
        <v/>
      </c>
      <c r="Z55">
        <v>0</v>
      </c>
      <c r="AA55">
        <f ca="1">COUNTIF(W$55:W$418,Z55)</f>
        <v>104</v>
      </c>
    </row>
    <row r="56" spans="1:27" x14ac:dyDescent="0.3">
      <c r="B56" s="3" t="s">
        <v>86</v>
      </c>
      <c r="D56" s="2">
        <f>SUMPRODUCT(($C$37:$C$52=D$37:D$52)*($C$37:$C$52&lt;&gt;""))</f>
        <v>0</v>
      </c>
      <c r="E56" s="2">
        <f t="shared" ref="E56:O56" si="32">SUMPRODUCT(($C$37:$C$52=E$37:E$52)*($C$37:$C$52&lt;&gt;""))</f>
        <v>3</v>
      </c>
      <c r="F56" s="2">
        <f t="shared" si="32"/>
        <v>3</v>
      </c>
      <c r="G56" s="2">
        <f t="shared" si="32"/>
        <v>2</v>
      </c>
      <c r="H56" s="2">
        <f t="shared" si="32"/>
        <v>3</v>
      </c>
      <c r="I56" s="2">
        <f t="shared" si="32"/>
        <v>2</v>
      </c>
      <c r="J56" s="2">
        <f t="shared" si="32"/>
        <v>2</v>
      </c>
      <c r="K56" s="2">
        <f t="shared" si="32"/>
        <v>1</v>
      </c>
      <c r="L56" s="2">
        <f t="shared" si="32"/>
        <v>1</v>
      </c>
      <c r="M56" s="2">
        <f t="shared" si="32"/>
        <v>1</v>
      </c>
      <c r="N56" s="2">
        <f t="shared" si="32"/>
        <v>1</v>
      </c>
      <c r="O56" s="2">
        <f t="shared" si="32"/>
        <v>1</v>
      </c>
      <c r="Q56">
        <v>2</v>
      </c>
      <c r="R56">
        <f t="shared" ref="R56:R64" si="33">COUNTIFS(C$55:O$67,Q56)</f>
        <v>21</v>
      </c>
      <c r="T56">
        <v>1</v>
      </c>
      <c r="U56">
        <v>2</v>
      </c>
      <c r="V56">
        <v>4</v>
      </c>
      <c r="W56" cm="1">
        <f t="array" aca="1" ref="W56" ca="1">IF(AND(INDIRECT("B"&amp;(T56+70))="X",INDIRECT("B"&amp;(U56+70))="X",INDIRECT("B"&amp;(V56+70))="X"),1,0)+IF(AND(INDIRECT("C"&amp;(T56+70))="X",INDIRECT("C"&amp;(U56+70))="X",INDIRECT("C"&amp;(V56+70))="X"),1,0)+IF(AND(INDIRECT("D"&amp;(T56+70))="X",INDIRECT("D"&amp;(U56+70))="X",INDIRECT("D"&amp;(V56+70))="X"),1,0)+IF(AND(INDIRECT("E"&amp;(T56+70))="X",INDIRECT("E"&amp;(U56+70))="X",INDIRECT("E"&amp;(V56+70))="X"),1,0)+IF(AND(INDIRECT("F"&amp;(T56+70))="X",INDIRECT("F"&amp;(U56+70))="X",INDIRECT("F"&amp;(V56+70))="X"),1,0)+IF(AND(INDIRECT("G"&amp;(T56+70))="X",INDIRECT("G"&amp;(U56+70))="X",INDIRECT("G"&amp;(V56+70))="X"),1,0)+IF(AND(INDIRECT("H"&amp;(T56+70))="X",INDIRECT("H"&amp;(U56+70))="X",INDIRECT("H"&amp;(V56+70))="X"),1,0)+IF(AND(INDIRECT("I"&amp;(T56+70))="X",INDIRECT("I"&amp;(U56+70))="X",INDIRECT("I"&amp;(V56+70))="X"),1,0)+IF(AND(INDIRECT("J"&amp;(T56+70))="X",INDIRECT("J"&amp;(U56+70))="X",INDIRECT("J"&amp;(V56+70))="X"),1,0)+IF(AND(INDIRECT("K"&amp;(T56+70))="X",INDIRECT("K"&amp;(U56+70))="X",INDIRECT("K"&amp;(V56+70))="X"),1,0)+IF(AND(INDIRECT("L"&amp;(T56+70))="X",INDIRECT("L"&amp;(U56+70))="X",INDIRECT("L"&amp;(V56+70))="X"),1,0)+IF(AND(INDIRECT("M"&amp;(T56+70))="X",INDIRECT("M"&amp;(U56+70))="X",INDIRECT("M"&amp;(V56+70))="X"),1,0)+IF(AND(INDIRECT("N"&amp;(T56+70))="X",INDIRECT("N"&amp;(U56+70))="X",INDIRECT("N"&amp;(V56+70))="X"),1,0)+IF(AND(INDIRECT("O"&amp;(T56+70))="X",INDIRECT("O"&amp;(U56+70))="X",INDIRECT("O"&amp;(V56+70))="X"),1,0)+IF(AND(INDIRECT("P"&amp;(T56+70))="X",INDIRECT("P"&amp;(U56+70))="X",INDIRECT("P"&amp;(V56+70))="X"),1,0)+IF(AND(INDIRECT("Q"&amp;(T56+70))="X",INDIRECT("Q"&amp;(U56+70))="X",INDIRECT("Q"&amp;(V56+70))="X"),1,0)</f>
        <v>2</v>
      </c>
      <c r="Z56">
        <v>1</v>
      </c>
      <c r="AA56">
        <f t="shared" ref="AA56:AA64" ca="1" si="34">COUNTIF(W$55:W$418,Z56)</f>
        <v>149</v>
      </c>
    </row>
    <row r="57" spans="1:27" x14ac:dyDescent="0.3">
      <c r="B57" s="3" t="s">
        <v>87</v>
      </c>
      <c r="E57" s="2">
        <f>SUMPRODUCT(($D$37:$D$52=E$37:E$52)*($D$37:$D$52&lt;&gt;""))</f>
        <v>5</v>
      </c>
      <c r="F57" s="2">
        <f t="shared" ref="F57:O57" si="35">SUMPRODUCT(($D$37:$D$52=F$37:F$52)*($D$37:$D$52&lt;&gt;""))</f>
        <v>2</v>
      </c>
      <c r="G57" s="2">
        <f t="shared" si="35"/>
        <v>2</v>
      </c>
      <c r="H57" s="2">
        <f t="shared" si="35"/>
        <v>6</v>
      </c>
      <c r="I57" s="2">
        <f t="shared" si="35"/>
        <v>6</v>
      </c>
      <c r="J57" s="2">
        <f t="shared" si="35"/>
        <v>2</v>
      </c>
      <c r="K57" s="2">
        <f t="shared" si="35"/>
        <v>2</v>
      </c>
      <c r="L57" s="2">
        <f t="shared" si="35"/>
        <v>4</v>
      </c>
      <c r="M57" s="2">
        <f t="shared" si="35"/>
        <v>7</v>
      </c>
      <c r="N57" s="2">
        <f t="shared" si="35"/>
        <v>6</v>
      </c>
      <c r="O57" s="2">
        <f t="shared" si="35"/>
        <v>3</v>
      </c>
      <c r="Q57">
        <v>3</v>
      </c>
      <c r="R57">
        <f t="shared" si="33"/>
        <v>19</v>
      </c>
      <c r="T57">
        <v>1</v>
      </c>
      <c r="U57">
        <v>2</v>
      </c>
      <c r="V57">
        <v>5</v>
      </c>
      <c r="W57" cm="1">
        <f t="array" aca="1" ref="W57" ca="1">IF(AND(INDIRECT("B"&amp;(T57+70))="X",INDIRECT("B"&amp;(U57+70))="X",INDIRECT("B"&amp;(V57+70))="X"),1,0)+IF(AND(INDIRECT("C"&amp;(T57+70))="X",INDIRECT("C"&amp;(U57+70))="X",INDIRECT("C"&amp;(V57+70))="X"),1,0)+IF(AND(INDIRECT("D"&amp;(T57+70))="X",INDIRECT("D"&amp;(U57+70))="X",INDIRECT("D"&amp;(V57+70))="X"),1,0)+IF(AND(INDIRECT("E"&amp;(T57+70))="X",INDIRECT("E"&amp;(U57+70))="X",INDIRECT("E"&amp;(V57+70))="X"),1,0)+IF(AND(INDIRECT("F"&amp;(T57+70))="X",INDIRECT("F"&amp;(U57+70))="X",INDIRECT("F"&amp;(V57+70))="X"),1,0)+IF(AND(INDIRECT("G"&amp;(T57+70))="X",INDIRECT("G"&amp;(U57+70))="X",INDIRECT("G"&amp;(V57+70))="X"),1,0)+IF(AND(INDIRECT("H"&amp;(T57+70))="X",INDIRECT("H"&amp;(U57+70))="X",INDIRECT("H"&amp;(V57+70))="X"),1,0)+IF(AND(INDIRECT("I"&amp;(T57+70))="X",INDIRECT("I"&amp;(U57+70))="X",INDIRECT("I"&amp;(V57+70))="X"),1,0)+IF(AND(INDIRECT("J"&amp;(T57+70))="X",INDIRECT("J"&amp;(U57+70))="X",INDIRECT("J"&amp;(V57+70))="X"),1,0)+IF(AND(INDIRECT("K"&amp;(T57+70))="X",INDIRECT("K"&amp;(U57+70))="X",INDIRECT("K"&amp;(V57+70))="X"),1,0)+IF(AND(INDIRECT("L"&amp;(T57+70))="X",INDIRECT("L"&amp;(U57+70))="X",INDIRECT("L"&amp;(V57+70))="X"),1,0)+IF(AND(INDIRECT("M"&amp;(T57+70))="X",INDIRECT("M"&amp;(U57+70))="X",INDIRECT("M"&amp;(V57+70))="X"),1,0)+IF(AND(INDIRECT("N"&amp;(T57+70))="X",INDIRECT("N"&amp;(U57+70))="X",INDIRECT("N"&amp;(V57+70))="X"),1,0)+IF(AND(INDIRECT("O"&amp;(T57+70))="X",INDIRECT("O"&amp;(U57+70))="X",INDIRECT("O"&amp;(V57+70))="X"),1,0)+IF(AND(INDIRECT("P"&amp;(T57+70))="X",INDIRECT("P"&amp;(U57+70))="X",INDIRECT("P"&amp;(V57+70))="X"),1,0)+IF(AND(INDIRECT("Q"&amp;(T57+70))="X",INDIRECT("Q"&amp;(U57+70))="X",INDIRECT("Q"&amp;(V57+70))="X"),1,0)</f>
        <v>2</v>
      </c>
      <c r="Z57">
        <v>2</v>
      </c>
      <c r="AA57">
        <f t="shared" ca="1" si="34"/>
        <v>69</v>
      </c>
    </row>
    <row r="58" spans="1:27" x14ac:dyDescent="0.3">
      <c r="B58" s="3" t="s">
        <v>88</v>
      </c>
      <c r="F58" s="2">
        <f>SUMPRODUCT(($E$37:$E$52=F$37:F$52)*($E$37:$E$52&lt;&gt;""))</f>
        <v>4</v>
      </c>
      <c r="G58" s="2">
        <f t="shared" ref="G58:O58" si="36">SUMPRODUCT(($E$37:$E$52=G$37:G$52)*($E$37:$E$52&lt;&gt;""))</f>
        <v>2</v>
      </c>
      <c r="H58" s="2">
        <f t="shared" si="36"/>
        <v>7</v>
      </c>
      <c r="I58" s="2">
        <f t="shared" si="36"/>
        <v>4</v>
      </c>
      <c r="J58" s="2">
        <f t="shared" si="36"/>
        <v>1</v>
      </c>
      <c r="K58" s="2">
        <f t="shared" si="36"/>
        <v>1</v>
      </c>
      <c r="L58" s="2">
        <f t="shared" si="36"/>
        <v>5</v>
      </c>
      <c r="M58" s="2">
        <f t="shared" si="36"/>
        <v>5</v>
      </c>
      <c r="N58" s="2">
        <f t="shared" si="36"/>
        <v>3</v>
      </c>
      <c r="O58" s="2">
        <f t="shared" si="36"/>
        <v>3</v>
      </c>
      <c r="Q58">
        <v>4</v>
      </c>
      <c r="R58">
        <f t="shared" si="33"/>
        <v>17</v>
      </c>
      <c r="T58">
        <v>1</v>
      </c>
      <c r="U58">
        <v>2</v>
      </c>
      <c r="V58">
        <v>6</v>
      </c>
      <c r="W58" cm="1">
        <f t="array" aca="1" ref="W58" ca="1">IF(AND(INDIRECT("B"&amp;(T58+70))="X",INDIRECT("B"&amp;(U58+70))="X",INDIRECT("B"&amp;(V58+70))="X"),1,0)+IF(AND(INDIRECT("C"&amp;(T58+70))="X",INDIRECT("C"&amp;(U58+70))="X",INDIRECT("C"&amp;(V58+70))="X"),1,0)+IF(AND(INDIRECT("D"&amp;(T58+70))="X",INDIRECT("D"&amp;(U58+70))="X",INDIRECT("D"&amp;(V58+70))="X"),1,0)+IF(AND(INDIRECT("E"&amp;(T58+70))="X",INDIRECT("E"&amp;(U58+70))="X",INDIRECT("E"&amp;(V58+70))="X"),1,0)+IF(AND(INDIRECT("F"&amp;(T58+70))="X",INDIRECT("F"&amp;(U58+70))="X",INDIRECT("F"&amp;(V58+70))="X"),1,0)+IF(AND(INDIRECT("G"&amp;(T58+70))="X",INDIRECT("G"&amp;(U58+70))="X",INDIRECT("G"&amp;(V58+70))="X"),1,0)+IF(AND(INDIRECT("H"&amp;(T58+70))="X",INDIRECT("H"&amp;(U58+70))="X",INDIRECT("H"&amp;(V58+70))="X"),1,0)+IF(AND(INDIRECT("I"&amp;(T58+70))="X",INDIRECT("I"&amp;(U58+70))="X",INDIRECT("I"&amp;(V58+70))="X"),1,0)+IF(AND(INDIRECT("J"&amp;(T58+70))="X",INDIRECT("J"&amp;(U58+70))="X",INDIRECT("J"&amp;(V58+70))="X"),1,0)+IF(AND(INDIRECT("K"&amp;(T58+70))="X",INDIRECT("K"&amp;(U58+70))="X",INDIRECT("K"&amp;(V58+70))="X"),1,0)+IF(AND(INDIRECT("L"&amp;(T58+70))="X",INDIRECT("L"&amp;(U58+70))="X",INDIRECT("L"&amp;(V58+70))="X"),1,0)+IF(AND(INDIRECT("M"&amp;(T58+70))="X",INDIRECT("M"&amp;(U58+70))="X",INDIRECT("M"&amp;(V58+70))="X"),1,0)+IF(AND(INDIRECT("N"&amp;(T58+70))="X",INDIRECT("N"&amp;(U58+70))="X",INDIRECT("N"&amp;(V58+70))="X"),1,0)+IF(AND(INDIRECT("O"&amp;(T58+70))="X",INDIRECT("O"&amp;(U58+70))="X",INDIRECT("O"&amp;(V58+70))="X"),1,0)+IF(AND(INDIRECT("P"&amp;(T58+70))="X",INDIRECT("P"&amp;(U58+70))="X",INDIRECT("P"&amp;(V58+70))="X"),1,0)+IF(AND(INDIRECT("Q"&amp;(T58+70))="X",INDIRECT("Q"&amp;(U58+70))="X",INDIRECT("Q"&amp;(V58+70))="X"),1,0)</f>
        <v>0</v>
      </c>
      <c r="Z58">
        <v>3</v>
      </c>
      <c r="AA58">
        <f t="shared" ca="1" si="34"/>
        <v>32</v>
      </c>
    </row>
    <row r="59" spans="1:27" x14ac:dyDescent="0.3">
      <c r="B59" s="3" t="s">
        <v>89</v>
      </c>
      <c r="G59" s="2">
        <f>SUMPRODUCT(($F$37:$F$52=G$37:G$52)*($F$37:$F$52&lt;&gt;""))</f>
        <v>4</v>
      </c>
      <c r="H59" s="2">
        <f t="shared" ref="H59:O59" si="37">SUMPRODUCT(($F$37:$F$52=H$37:H$52)*($F$37:$F$52&lt;&gt;""))</f>
        <v>5</v>
      </c>
      <c r="I59" s="2">
        <f t="shared" si="37"/>
        <v>4</v>
      </c>
      <c r="J59" s="2">
        <f t="shared" si="37"/>
        <v>3</v>
      </c>
      <c r="K59" s="2">
        <f t="shared" si="37"/>
        <v>3</v>
      </c>
      <c r="L59" s="2">
        <f t="shared" si="37"/>
        <v>3</v>
      </c>
      <c r="M59" s="2">
        <f t="shared" si="37"/>
        <v>3</v>
      </c>
      <c r="N59" s="2">
        <f t="shared" si="37"/>
        <v>3</v>
      </c>
      <c r="O59" s="2">
        <f t="shared" si="37"/>
        <v>2</v>
      </c>
      <c r="Q59">
        <v>5</v>
      </c>
      <c r="R59">
        <f t="shared" si="33"/>
        <v>10</v>
      </c>
      <c r="T59">
        <v>1</v>
      </c>
      <c r="U59">
        <v>2</v>
      </c>
      <c r="V59">
        <v>7</v>
      </c>
      <c r="W59" cm="1">
        <f t="array" aca="1" ref="W59" ca="1">IF(AND(INDIRECT("B"&amp;(T59+70))="X",INDIRECT("B"&amp;(U59+70))="X",INDIRECT("B"&amp;(V59+70))="X"),1,0)+IF(AND(INDIRECT("C"&amp;(T59+70))="X",INDIRECT("C"&amp;(U59+70))="X",INDIRECT("C"&amp;(V59+70))="X"),1,0)+IF(AND(INDIRECT("D"&amp;(T59+70))="X",INDIRECT("D"&amp;(U59+70))="X",INDIRECT("D"&amp;(V59+70))="X"),1,0)+IF(AND(INDIRECT("E"&amp;(T59+70))="X",INDIRECT("E"&amp;(U59+70))="X",INDIRECT("E"&amp;(V59+70))="X"),1,0)+IF(AND(INDIRECT("F"&amp;(T59+70))="X",INDIRECT("F"&amp;(U59+70))="X",INDIRECT("F"&amp;(V59+70))="X"),1,0)+IF(AND(INDIRECT("G"&amp;(T59+70))="X",INDIRECT("G"&amp;(U59+70))="X",INDIRECT("G"&amp;(V59+70))="X"),1,0)+IF(AND(INDIRECT("H"&amp;(T59+70))="X",INDIRECT("H"&amp;(U59+70))="X",INDIRECT("H"&amp;(V59+70))="X"),1,0)+IF(AND(INDIRECT("I"&amp;(T59+70))="X",INDIRECT("I"&amp;(U59+70))="X",INDIRECT("I"&amp;(V59+70))="X"),1,0)+IF(AND(INDIRECT("J"&amp;(T59+70))="X",INDIRECT("J"&amp;(U59+70))="X",INDIRECT("J"&amp;(V59+70))="X"),1,0)+IF(AND(INDIRECT("K"&amp;(T59+70))="X",INDIRECT("K"&amp;(U59+70))="X",INDIRECT("K"&amp;(V59+70))="X"),1,0)+IF(AND(INDIRECT("L"&amp;(T59+70))="X",INDIRECT("L"&amp;(U59+70))="X",INDIRECT("L"&amp;(V59+70))="X"),1,0)+IF(AND(INDIRECT("M"&amp;(T59+70))="X",INDIRECT("M"&amp;(U59+70))="X",INDIRECT("M"&amp;(V59+70))="X"),1,0)+IF(AND(INDIRECT("N"&amp;(T59+70))="X",INDIRECT("N"&amp;(U59+70))="X",INDIRECT("N"&amp;(V59+70))="X"),1,0)+IF(AND(INDIRECT("O"&amp;(T59+70))="X",INDIRECT("O"&amp;(U59+70))="X",INDIRECT("O"&amp;(V59+70))="X"),1,0)+IF(AND(INDIRECT("P"&amp;(T59+70))="X",INDIRECT("P"&amp;(U59+70))="X",INDIRECT("P"&amp;(V59+70))="X"),1,0)+IF(AND(INDIRECT("Q"&amp;(T59+70))="X",INDIRECT("Q"&amp;(U59+70))="X",INDIRECT("Q"&amp;(V59+70))="X"),1,0)</f>
        <v>2</v>
      </c>
      <c r="Z59">
        <v>4</v>
      </c>
      <c r="AA59">
        <f t="shared" ca="1" si="34"/>
        <v>8</v>
      </c>
    </row>
    <row r="60" spans="1:27" x14ac:dyDescent="0.3">
      <c r="B60" s="3" t="s">
        <v>90</v>
      </c>
      <c r="H60" s="2">
        <f>SUMPRODUCT(($G$37:$G$52=H$37:H$52)*($G$37:$G$52&lt;&gt;""))</f>
        <v>1</v>
      </c>
      <c r="I60" s="2">
        <f t="shared" ref="I60:O60" si="38">SUMPRODUCT(($G$37:$G$52=I$37:I$52)*($G$37:$G$52&lt;&gt;""))</f>
        <v>4</v>
      </c>
      <c r="J60" s="2">
        <f t="shared" si="38"/>
        <v>2</v>
      </c>
      <c r="K60" s="2">
        <f t="shared" si="38"/>
        <v>4</v>
      </c>
      <c r="L60" s="2">
        <f t="shared" si="38"/>
        <v>2</v>
      </c>
      <c r="M60" s="2">
        <f t="shared" si="38"/>
        <v>3</v>
      </c>
      <c r="N60" s="2">
        <f t="shared" si="38"/>
        <v>2</v>
      </c>
      <c r="O60" s="2">
        <f t="shared" si="38"/>
        <v>3</v>
      </c>
      <c r="Q60">
        <v>6</v>
      </c>
      <c r="R60">
        <f t="shared" si="33"/>
        <v>6</v>
      </c>
      <c r="T60">
        <v>1</v>
      </c>
      <c r="U60">
        <v>2</v>
      </c>
      <c r="V60">
        <v>8</v>
      </c>
      <c r="W60" cm="1">
        <f t="array" aca="1" ref="W60" ca="1">IF(AND(INDIRECT("B"&amp;(T60+70))="X",INDIRECT("B"&amp;(U60+70))="X",INDIRECT("B"&amp;(V60+70))="X"),1,0)+IF(AND(INDIRECT("C"&amp;(T60+70))="X",INDIRECT("C"&amp;(U60+70))="X",INDIRECT("C"&amp;(V60+70))="X"),1,0)+IF(AND(INDIRECT("D"&amp;(T60+70))="X",INDIRECT("D"&amp;(U60+70))="X",INDIRECT("D"&amp;(V60+70))="X"),1,0)+IF(AND(INDIRECT("E"&amp;(T60+70))="X",INDIRECT("E"&amp;(U60+70))="X",INDIRECT("E"&amp;(V60+70))="X"),1,0)+IF(AND(INDIRECT("F"&amp;(T60+70))="X",INDIRECT("F"&amp;(U60+70))="X",INDIRECT("F"&amp;(V60+70))="X"),1,0)+IF(AND(INDIRECT("G"&amp;(T60+70))="X",INDIRECT("G"&amp;(U60+70))="X",INDIRECT("G"&amp;(V60+70))="X"),1,0)+IF(AND(INDIRECT("H"&amp;(T60+70))="X",INDIRECT("H"&amp;(U60+70))="X",INDIRECT("H"&amp;(V60+70))="X"),1,0)+IF(AND(INDIRECT("I"&amp;(T60+70))="X",INDIRECT("I"&amp;(U60+70))="X",INDIRECT("I"&amp;(V60+70))="X"),1,0)+IF(AND(INDIRECT("J"&amp;(T60+70))="X",INDIRECT("J"&amp;(U60+70))="X",INDIRECT("J"&amp;(V60+70))="X"),1,0)+IF(AND(INDIRECT("K"&amp;(T60+70))="X",INDIRECT("K"&amp;(U60+70))="X",INDIRECT("K"&amp;(V60+70))="X"),1,0)+IF(AND(INDIRECT("L"&amp;(T60+70))="X",INDIRECT("L"&amp;(U60+70))="X",INDIRECT("L"&amp;(V60+70))="X"),1,0)+IF(AND(INDIRECT("M"&amp;(T60+70))="X",INDIRECT("M"&amp;(U60+70))="X",INDIRECT("M"&amp;(V60+70))="X"),1,0)+IF(AND(INDIRECT("N"&amp;(T60+70))="X",INDIRECT("N"&amp;(U60+70))="X",INDIRECT("N"&amp;(V60+70))="X"),1,0)+IF(AND(INDIRECT("O"&amp;(T60+70))="X",INDIRECT("O"&amp;(U60+70))="X",INDIRECT("O"&amp;(V60+70))="X"),1,0)+IF(AND(INDIRECT("P"&amp;(T60+70))="X",INDIRECT("P"&amp;(U60+70))="X",INDIRECT("P"&amp;(V60+70))="X"),1,0)+IF(AND(INDIRECT("Q"&amp;(T60+70))="X",INDIRECT("Q"&amp;(U60+70))="X",INDIRECT("Q"&amp;(V60+70))="X"),1,0)</f>
        <v>0</v>
      </c>
      <c r="Z60">
        <v>5</v>
      </c>
      <c r="AA60">
        <f t="shared" ca="1" si="34"/>
        <v>2</v>
      </c>
    </row>
    <row r="61" spans="1:27" x14ac:dyDescent="0.3">
      <c r="B61" s="3" t="s">
        <v>91</v>
      </c>
      <c r="I61" s="2">
        <f>SUMPRODUCT(($H$37:$H$52=I$37:I$52)*($H$37:$H$52&lt;&gt;""))</f>
        <v>5</v>
      </c>
      <c r="J61" s="2">
        <f t="shared" ref="J61:O61" si="39">SUMPRODUCT(($H$37:$H$52=J$37:J$52)*($H$37:$H$52&lt;&gt;""))</f>
        <v>3</v>
      </c>
      <c r="K61" s="2">
        <f t="shared" si="39"/>
        <v>1</v>
      </c>
      <c r="L61" s="2">
        <f t="shared" si="39"/>
        <v>5</v>
      </c>
      <c r="M61" s="2">
        <f t="shared" si="39"/>
        <v>5</v>
      </c>
      <c r="N61" s="2">
        <f t="shared" si="39"/>
        <v>5</v>
      </c>
      <c r="O61" s="2">
        <f t="shared" si="39"/>
        <v>1</v>
      </c>
      <c r="Q61">
        <v>7</v>
      </c>
      <c r="R61">
        <f t="shared" si="33"/>
        <v>2</v>
      </c>
      <c r="T61">
        <v>1</v>
      </c>
      <c r="U61">
        <v>2</v>
      </c>
      <c r="V61">
        <v>9</v>
      </c>
      <c r="W61" cm="1">
        <f t="array" aca="1" ref="W61" ca="1">IF(AND(INDIRECT("B"&amp;(T61+70))="X",INDIRECT("B"&amp;(U61+70))="X",INDIRECT("B"&amp;(V61+70))="X"),1,0)+IF(AND(INDIRECT("C"&amp;(T61+70))="X",INDIRECT("C"&amp;(U61+70))="X",INDIRECT("C"&amp;(V61+70))="X"),1,0)+IF(AND(INDIRECT("D"&amp;(T61+70))="X",INDIRECT("D"&amp;(U61+70))="X",INDIRECT("D"&amp;(V61+70))="X"),1,0)+IF(AND(INDIRECT("E"&amp;(T61+70))="X",INDIRECT("E"&amp;(U61+70))="X",INDIRECT("E"&amp;(V61+70))="X"),1,0)+IF(AND(INDIRECT("F"&amp;(T61+70))="X",INDIRECT("F"&amp;(U61+70))="X",INDIRECT("F"&amp;(V61+70))="X"),1,0)+IF(AND(INDIRECT("G"&amp;(T61+70))="X",INDIRECT("G"&amp;(U61+70))="X",INDIRECT("G"&amp;(V61+70))="X"),1,0)+IF(AND(INDIRECT("H"&amp;(T61+70))="X",INDIRECT("H"&amp;(U61+70))="X",INDIRECT("H"&amp;(V61+70))="X"),1,0)+IF(AND(INDIRECT("I"&amp;(T61+70))="X",INDIRECT("I"&amp;(U61+70))="X",INDIRECT("I"&amp;(V61+70))="X"),1,0)+IF(AND(INDIRECT("J"&amp;(T61+70))="X",INDIRECT("J"&amp;(U61+70))="X",INDIRECT("J"&amp;(V61+70))="X"),1,0)+IF(AND(INDIRECT("K"&amp;(T61+70))="X",INDIRECT("K"&amp;(U61+70))="X",INDIRECT("K"&amp;(V61+70))="X"),1,0)+IF(AND(INDIRECT("L"&amp;(T61+70))="X",INDIRECT("L"&amp;(U61+70))="X",INDIRECT("L"&amp;(V61+70))="X"),1,0)+IF(AND(INDIRECT("M"&amp;(T61+70))="X",INDIRECT("M"&amp;(U61+70))="X",INDIRECT("M"&amp;(V61+70))="X"),1,0)+IF(AND(INDIRECT("N"&amp;(T61+70))="X",INDIRECT("N"&amp;(U61+70))="X",INDIRECT("N"&amp;(V61+70))="X"),1,0)+IF(AND(INDIRECT("O"&amp;(T61+70))="X",INDIRECT("O"&amp;(U61+70))="X",INDIRECT("O"&amp;(V61+70))="X"),1,0)+IF(AND(INDIRECT("P"&amp;(T61+70))="X",INDIRECT("P"&amp;(U61+70))="X",INDIRECT("P"&amp;(V61+70))="X"),1,0)+IF(AND(INDIRECT("Q"&amp;(T61+70))="X",INDIRECT("Q"&amp;(U61+70))="X",INDIRECT("Q"&amp;(V61+70))="X"),1,0)</f>
        <v>1</v>
      </c>
      <c r="Z61">
        <v>6</v>
      </c>
      <c r="AA61">
        <f t="shared" ca="1" si="34"/>
        <v>0</v>
      </c>
    </row>
    <row r="62" spans="1:27" x14ac:dyDescent="0.3">
      <c r="B62" s="3" t="s">
        <v>92</v>
      </c>
      <c r="J62" s="2">
        <f>SUMPRODUCT(($I$37:$I$52=J$37:J$52)*($I$37:$I$52&lt;&gt;""))</f>
        <v>2</v>
      </c>
      <c r="K62" s="2">
        <f t="shared" ref="K62:O62" si="40">SUMPRODUCT(($I$37:$I$52=K$37:K$52)*($I$37:$I$52&lt;&gt;""))</f>
        <v>3</v>
      </c>
      <c r="L62" s="2">
        <f t="shared" si="40"/>
        <v>1</v>
      </c>
      <c r="M62" s="2">
        <f t="shared" si="40"/>
        <v>6</v>
      </c>
      <c r="N62" s="2">
        <f t="shared" si="40"/>
        <v>4</v>
      </c>
      <c r="O62" s="2">
        <f t="shared" si="40"/>
        <v>4</v>
      </c>
      <c r="Q62">
        <v>8</v>
      </c>
      <c r="R62">
        <f t="shared" si="33"/>
        <v>0</v>
      </c>
      <c r="T62">
        <v>1</v>
      </c>
      <c r="U62">
        <v>2</v>
      </c>
      <c r="V62">
        <v>10</v>
      </c>
      <c r="W62" cm="1">
        <f t="array" aca="1" ref="W62" ca="1">IF(AND(INDIRECT("B"&amp;(T62+70))="X",INDIRECT("B"&amp;(U62+70))="X",INDIRECT("B"&amp;(V62+70))="X"),1,0)+IF(AND(INDIRECT("C"&amp;(T62+70))="X",INDIRECT("C"&amp;(U62+70))="X",INDIRECT("C"&amp;(V62+70))="X"),1,0)+IF(AND(INDIRECT("D"&amp;(T62+70))="X",INDIRECT("D"&amp;(U62+70))="X",INDIRECT("D"&amp;(V62+70))="X"),1,0)+IF(AND(INDIRECT("E"&amp;(T62+70))="X",INDIRECT("E"&amp;(U62+70))="X",INDIRECT("E"&amp;(V62+70))="X"),1,0)+IF(AND(INDIRECT("F"&amp;(T62+70))="X",INDIRECT("F"&amp;(U62+70))="X",INDIRECT("F"&amp;(V62+70))="X"),1,0)+IF(AND(INDIRECT("G"&amp;(T62+70))="X",INDIRECT("G"&amp;(U62+70))="X",INDIRECT("G"&amp;(V62+70))="X"),1,0)+IF(AND(INDIRECT("H"&amp;(T62+70))="X",INDIRECT("H"&amp;(U62+70))="X",INDIRECT("H"&amp;(V62+70))="X"),1,0)+IF(AND(INDIRECT("I"&amp;(T62+70))="X",INDIRECT("I"&amp;(U62+70))="X",INDIRECT("I"&amp;(V62+70))="X"),1,0)+IF(AND(INDIRECT("J"&amp;(T62+70))="X",INDIRECT("J"&amp;(U62+70))="X",INDIRECT("J"&amp;(V62+70))="X"),1,0)+IF(AND(INDIRECT("K"&amp;(T62+70))="X",INDIRECT("K"&amp;(U62+70))="X",INDIRECT("K"&amp;(V62+70))="X"),1,0)+IF(AND(INDIRECT("L"&amp;(T62+70))="X",INDIRECT("L"&amp;(U62+70))="X",INDIRECT("L"&amp;(V62+70))="X"),1,0)+IF(AND(INDIRECT("M"&amp;(T62+70))="X",INDIRECT("M"&amp;(U62+70))="X",INDIRECT("M"&amp;(V62+70))="X"),1,0)+IF(AND(INDIRECT("N"&amp;(T62+70))="X",INDIRECT("N"&amp;(U62+70))="X",INDIRECT("N"&amp;(V62+70))="X"),1,0)+IF(AND(INDIRECT("O"&amp;(T62+70))="X",INDIRECT("O"&amp;(U62+70))="X",INDIRECT("O"&amp;(V62+70))="X"),1,0)+IF(AND(INDIRECT("P"&amp;(T62+70))="X",INDIRECT("P"&amp;(U62+70))="X",INDIRECT("P"&amp;(V62+70))="X"),1,0)+IF(AND(INDIRECT("Q"&amp;(T62+70))="X",INDIRECT("Q"&amp;(U62+70))="X",INDIRECT("Q"&amp;(V62+70))="X"),1,0)</f>
        <v>0</v>
      </c>
      <c r="Z62">
        <v>7</v>
      </c>
      <c r="AA62">
        <f t="shared" ca="1" si="34"/>
        <v>0</v>
      </c>
    </row>
    <row r="63" spans="1:27" x14ac:dyDescent="0.3">
      <c r="B63" s="3" t="s">
        <v>93</v>
      </c>
      <c r="K63" s="2">
        <f>SUMPRODUCT(($J$37:$J$52=K$37:K$52)*($J$37:$J$52&lt;&gt;""))</f>
        <v>3</v>
      </c>
      <c r="L63" s="2">
        <f t="shared" ref="L63:O63" si="41">SUMPRODUCT(($J$37:$J$52=L$37:L$52)*($J$37:$J$52&lt;&gt;""))</f>
        <v>2</v>
      </c>
      <c r="M63" s="2">
        <f t="shared" si="41"/>
        <v>2</v>
      </c>
      <c r="N63" s="2">
        <f t="shared" si="41"/>
        <v>4</v>
      </c>
      <c r="O63" s="2">
        <f t="shared" si="41"/>
        <v>1</v>
      </c>
      <c r="Q63">
        <v>9</v>
      </c>
      <c r="R63">
        <f t="shared" si="33"/>
        <v>0</v>
      </c>
      <c r="T63">
        <v>1</v>
      </c>
      <c r="U63">
        <v>2</v>
      </c>
      <c r="V63">
        <v>11</v>
      </c>
      <c r="W63" cm="1">
        <f t="array" aca="1" ref="W63" ca="1">IF(AND(INDIRECT("B"&amp;(T63+70))="X",INDIRECT("B"&amp;(U63+70))="X",INDIRECT("B"&amp;(V63+70))="X"),1,0)+IF(AND(INDIRECT("C"&amp;(T63+70))="X",INDIRECT("C"&amp;(U63+70))="X",INDIRECT("C"&amp;(V63+70))="X"),1,0)+IF(AND(INDIRECT("D"&amp;(T63+70))="X",INDIRECT("D"&amp;(U63+70))="X",INDIRECT("D"&amp;(V63+70))="X"),1,0)+IF(AND(INDIRECT("E"&amp;(T63+70))="X",INDIRECT("E"&amp;(U63+70))="X",INDIRECT("E"&amp;(V63+70))="X"),1,0)+IF(AND(INDIRECT("F"&amp;(T63+70))="X",INDIRECT("F"&amp;(U63+70))="X",INDIRECT("F"&amp;(V63+70))="X"),1,0)+IF(AND(INDIRECT("G"&amp;(T63+70))="X",INDIRECT("G"&amp;(U63+70))="X",INDIRECT("G"&amp;(V63+70))="X"),1,0)+IF(AND(INDIRECT("H"&amp;(T63+70))="X",INDIRECT("H"&amp;(U63+70))="X",INDIRECT("H"&amp;(V63+70))="X"),1,0)+IF(AND(INDIRECT("I"&amp;(T63+70))="X",INDIRECT("I"&amp;(U63+70))="X",INDIRECT("I"&amp;(V63+70))="X"),1,0)+IF(AND(INDIRECT("J"&amp;(T63+70))="X",INDIRECT("J"&amp;(U63+70))="X",INDIRECT("J"&amp;(V63+70))="X"),1,0)+IF(AND(INDIRECT("K"&amp;(T63+70))="X",INDIRECT("K"&amp;(U63+70))="X",INDIRECT("K"&amp;(V63+70))="X"),1,0)+IF(AND(INDIRECT("L"&amp;(T63+70))="X",INDIRECT("L"&amp;(U63+70))="X",INDIRECT("L"&amp;(V63+70))="X"),1,0)+IF(AND(INDIRECT("M"&amp;(T63+70))="X",INDIRECT("M"&amp;(U63+70))="X",INDIRECT("M"&amp;(V63+70))="X"),1,0)+IF(AND(INDIRECT("N"&amp;(T63+70))="X",INDIRECT("N"&amp;(U63+70))="X",INDIRECT("N"&amp;(V63+70))="X"),1,0)+IF(AND(INDIRECT("O"&amp;(T63+70))="X",INDIRECT("O"&amp;(U63+70))="X",INDIRECT("O"&amp;(V63+70))="X"),1,0)+IF(AND(INDIRECT("P"&amp;(T63+70))="X",INDIRECT("P"&amp;(U63+70))="X",INDIRECT("P"&amp;(V63+70))="X"),1,0)+IF(AND(INDIRECT("Q"&amp;(T63+70))="X",INDIRECT("Q"&amp;(U63+70))="X",INDIRECT("Q"&amp;(V63+70))="X"),1,0)</f>
        <v>1</v>
      </c>
      <c r="Z63">
        <v>8</v>
      </c>
      <c r="AA63">
        <f t="shared" ca="1" si="34"/>
        <v>0</v>
      </c>
    </row>
    <row r="64" spans="1:27" x14ac:dyDescent="0.3">
      <c r="B64" s="3" t="s">
        <v>94</v>
      </c>
      <c r="L64" s="2">
        <f>SUMPRODUCT(($K$37:$K$52=L$37:L$52)*($K$37:$K$52&lt;&gt;""))</f>
        <v>2</v>
      </c>
      <c r="M64" s="2">
        <f t="shared" ref="M64:O64" si="42">SUMPRODUCT(($K$37:$K$52=M$37:M$52)*($K$37:$K$52&lt;&gt;""))</f>
        <v>2</v>
      </c>
      <c r="N64" s="2">
        <f t="shared" si="42"/>
        <v>2</v>
      </c>
      <c r="O64" s="2">
        <f t="shared" si="42"/>
        <v>3</v>
      </c>
      <c r="Q64">
        <v>10</v>
      </c>
      <c r="R64">
        <f t="shared" si="33"/>
        <v>0</v>
      </c>
      <c r="T64">
        <v>1</v>
      </c>
      <c r="U64">
        <v>2</v>
      </c>
      <c r="V64">
        <v>12</v>
      </c>
      <c r="W64" cm="1">
        <f t="array" aca="1" ref="W64" ca="1">IF(AND(INDIRECT("B"&amp;(T64+70))="X",INDIRECT("B"&amp;(U64+70))="X",INDIRECT("B"&amp;(V64+70))="X"),1,0)+IF(AND(INDIRECT("C"&amp;(T64+70))="X",INDIRECT("C"&amp;(U64+70))="X",INDIRECT("C"&amp;(V64+70))="X"),1,0)+IF(AND(INDIRECT("D"&amp;(T64+70))="X",INDIRECT("D"&amp;(U64+70))="X",INDIRECT("D"&amp;(V64+70))="X"),1,0)+IF(AND(INDIRECT("E"&amp;(T64+70))="X",INDIRECT("E"&amp;(U64+70))="X",INDIRECT("E"&amp;(V64+70))="X"),1,0)+IF(AND(INDIRECT("F"&amp;(T64+70))="X",INDIRECT("F"&amp;(U64+70))="X",INDIRECT("F"&amp;(V64+70))="X"),1,0)+IF(AND(INDIRECT("G"&amp;(T64+70))="X",INDIRECT("G"&amp;(U64+70))="X",INDIRECT("G"&amp;(V64+70))="X"),1,0)+IF(AND(INDIRECT("H"&amp;(T64+70))="X",INDIRECT("H"&amp;(U64+70))="X",INDIRECT("H"&amp;(V64+70))="X"),1,0)+IF(AND(INDIRECT("I"&amp;(T64+70))="X",INDIRECT("I"&amp;(U64+70))="X",INDIRECT("I"&amp;(V64+70))="X"),1,0)+IF(AND(INDIRECT("J"&amp;(T64+70))="X",INDIRECT("J"&amp;(U64+70))="X",INDIRECT("J"&amp;(V64+70))="X"),1,0)+IF(AND(INDIRECT("K"&amp;(T64+70))="X",INDIRECT("K"&amp;(U64+70))="X",INDIRECT("K"&amp;(V64+70))="X"),1,0)+IF(AND(INDIRECT("L"&amp;(T64+70))="X",INDIRECT("L"&amp;(U64+70))="X",INDIRECT("L"&amp;(V64+70))="X"),1,0)+IF(AND(INDIRECT("M"&amp;(T64+70))="X",INDIRECT("M"&amp;(U64+70))="X",INDIRECT("M"&amp;(V64+70))="X"),1,0)+IF(AND(INDIRECT("N"&amp;(T64+70))="X",INDIRECT("N"&amp;(U64+70))="X",INDIRECT("N"&amp;(V64+70))="X"),1,0)+IF(AND(INDIRECT("O"&amp;(T64+70))="X",INDIRECT("O"&amp;(U64+70))="X",INDIRECT("O"&amp;(V64+70))="X"),1,0)+IF(AND(INDIRECT("P"&amp;(T64+70))="X",INDIRECT("P"&amp;(U64+70))="X",INDIRECT("P"&amp;(V64+70))="X"),1,0)+IF(AND(INDIRECT("Q"&amp;(T64+70))="X",INDIRECT("Q"&amp;(U64+70))="X",INDIRECT("Q"&amp;(V64+70))="X"),1,0)</f>
        <v>0</v>
      </c>
      <c r="Z64">
        <v>9</v>
      </c>
      <c r="AA64">
        <f t="shared" ca="1" si="34"/>
        <v>0</v>
      </c>
    </row>
    <row r="65" spans="1:23" x14ac:dyDescent="0.3">
      <c r="B65" s="3" t="s">
        <v>95</v>
      </c>
      <c r="M65" s="2">
        <f>SUMPRODUCT(($L$37:$L$52=M$37:M$52)*($L$37:$L$52&lt;&gt;""))</f>
        <v>3</v>
      </c>
      <c r="N65" s="2">
        <f t="shared" ref="N65:O65" si="43">SUMPRODUCT(($L$37:$L$52=N$37:N$52)*($L$37:$L$52&lt;&gt;""))</f>
        <v>4</v>
      </c>
      <c r="O65" s="2">
        <f t="shared" si="43"/>
        <v>1</v>
      </c>
      <c r="T65">
        <v>1</v>
      </c>
      <c r="U65">
        <v>2</v>
      </c>
      <c r="V65">
        <v>13</v>
      </c>
      <c r="W65" cm="1">
        <f t="array" aca="1" ref="W65" ca="1">IF(AND(INDIRECT("B"&amp;(T65+70))="X",INDIRECT("B"&amp;(U65+70))="X",INDIRECT("B"&amp;(V65+70))="X"),1,0)+IF(AND(INDIRECT("C"&amp;(T65+70))="X",INDIRECT("C"&amp;(U65+70))="X",INDIRECT("C"&amp;(V65+70))="X"),1,0)+IF(AND(INDIRECT("D"&amp;(T65+70))="X",INDIRECT("D"&amp;(U65+70))="X",INDIRECT("D"&amp;(V65+70))="X"),1,0)+IF(AND(INDIRECT("E"&amp;(T65+70))="X",INDIRECT("E"&amp;(U65+70))="X",INDIRECT("E"&amp;(V65+70))="X"),1,0)+IF(AND(INDIRECT("F"&amp;(T65+70))="X",INDIRECT("F"&amp;(U65+70))="X",INDIRECT("F"&amp;(V65+70))="X"),1,0)+IF(AND(INDIRECT("G"&amp;(T65+70))="X",INDIRECT("G"&amp;(U65+70))="X",INDIRECT("G"&amp;(V65+70))="X"),1,0)+IF(AND(INDIRECT("H"&amp;(T65+70))="X",INDIRECT("H"&amp;(U65+70))="X",INDIRECT("H"&amp;(V65+70))="X"),1,0)+IF(AND(INDIRECT("I"&amp;(T65+70))="X",INDIRECT("I"&amp;(U65+70))="X",INDIRECT("I"&amp;(V65+70))="X"),1,0)+IF(AND(INDIRECT("J"&amp;(T65+70))="X",INDIRECT("J"&amp;(U65+70))="X",INDIRECT("J"&amp;(V65+70))="X"),1,0)+IF(AND(INDIRECT("K"&amp;(T65+70))="X",INDIRECT("K"&amp;(U65+70))="X",INDIRECT("K"&amp;(V65+70))="X"),1,0)+IF(AND(INDIRECT("L"&amp;(T65+70))="X",INDIRECT("L"&amp;(U65+70))="X",INDIRECT("L"&amp;(V65+70))="X"),1,0)+IF(AND(INDIRECT("M"&amp;(T65+70))="X",INDIRECT("M"&amp;(U65+70))="X",INDIRECT("M"&amp;(V65+70))="X"),1,0)+IF(AND(INDIRECT("N"&amp;(T65+70))="X",INDIRECT("N"&amp;(U65+70))="X",INDIRECT("N"&amp;(V65+70))="X"),1,0)+IF(AND(INDIRECT("O"&amp;(T65+70))="X",INDIRECT("O"&amp;(U65+70))="X",INDIRECT("O"&amp;(V65+70))="X"),1,0)+IF(AND(INDIRECT("P"&amp;(T65+70))="X",INDIRECT("P"&amp;(U65+70))="X",INDIRECT("P"&amp;(V65+70))="X"),1,0)+IF(AND(INDIRECT("Q"&amp;(T65+70))="X",INDIRECT("Q"&amp;(U65+70))="X",INDIRECT("Q"&amp;(V65+70))="X"),1,0)</f>
        <v>1</v>
      </c>
    </row>
    <row r="66" spans="1:23" x14ac:dyDescent="0.3">
      <c r="B66" s="3" t="s">
        <v>96</v>
      </c>
      <c r="N66" s="2">
        <f>SUMPRODUCT(($M$37:$M$52=N$37:N$52)*($M$37:$M$52&lt;&gt;""))</f>
        <v>4</v>
      </c>
      <c r="O66" s="2">
        <f>SUMPRODUCT(($M$37:$M$52=O$37:O$52)*($M$37:$M$52&lt;&gt;""))</f>
        <v>4</v>
      </c>
      <c r="T66">
        <v>1</v>
      </c>
      <c r="U66">
        <v>2</v>
      </c>
      <c r="V66">
        <v>14</v>
      </c>
      <c r="W66" cm="1">
        <f t="array" aca="1" ref="W66" ca="1">IF(AND(INDIRECT("B"&amp;(T66+70))="X",INDIRECT("B"&amp;(U66+70))="X",INDIRECT("B"&amp;(V66+70))="X"),1,0)+IF(AND(INDIRECT("C"&amp;(T66+70))="X",INDIRECT("C"&amp;(U66+70))="X",INDIRECT("C"&amp;(V66+70))="X"),1,0)+IF(AND(INDIRECT("D"&amp;(T66+70))="X",INDIRECT("D"&amp;(U66+70))="X",INDIRECT("D"&amp;(V66+70))="X"),1,0)+IF(AND(INDIRECT("E"&amp;(T66+70))="X",INDIRECT("E"&amp;(U66+70))="X",INDIRECT("E"&amp;(V66+70))="X"),1,0)+IF(AND(INDIRECT("F"&amp;(T66+70))="X",INDIRECT("F"&amp;(U66+70))="X",INDIRECT("F"&amp;(V66+70))="X"),1,0)+IF(AND(INDIRECT("G"&amp;(T66+70))="X",INDIRECT("G"&amp;(U66+70))="X",INDIRECT("G"&amp;(V66+70))="X"),1,0)+IF(AND(INDIRECT("H"&amp;(T66+70))="X",INDIRECT("H"&amp;(U66+70))="X",INDIRECT("H"&amp;(V66+70))="X"),1,0)+IF(AND(INDIRECT("I"&amp;(T66+70))="X",INDIRECT("I"&amp;(U66+70))="X",INDIRECT("I"&amp;(V66+70))="X"),1,0)+IF(AND(INDIRECT("J"&amp;(T66+70))="X",INDIRECT("J"&amp;(U66+70))="X",INDIRECT("J"&amp;(V66+70))="X"),1,0)+IF(AND(INDIRECT("K"&amp;(T66+70))="X",INDIRECT("K"&amp;(U66+70))="X",INDIRECT("K"&amp;(V66+70))="X"),1,0)+IF(AND(INDIRECT("L"&amp;(T66+70))="X",INDIRECT("L"&amp;(U66+70))="X",INDIRECT("L"&amp;(V66+70))="X"),1,0)+IF(AND(INDIRECT("M"&amp;(T66+70))="X",INDIRECT("M"&amp;(U66+70))="X",INDIRECT("M"&amp;(V66+70))="X"),1,0)+IF(AND(INDIRECT("N"&amp;(T66+70))="X",INDIRECT("N"&amp;(U66+70))="X",INDIRECT("N"&amp;(V66+70))="X"),1,0)+IF(AND(INDIRECT("O"&amp;(T66+70))="X",INDIRECT("O"&amp;(U66+70))="X",INDIRECT("O"&amp;(V66+70))="X"),1,0)+IF(AND(INDIRECT("P"&amp;(T66+70))="X",INDIRECT("P"&amp;(U66+70))="X",INDIRECT("P"&amp;(V66+70))="X"),1,0)+IF(AND(INDIRECT("Q"&amp;(T66+70))="X",INDIRECT("Q"&amp;(U66+70))="X",INDIRECT("Q"&amp;(V66+70))="X"),1,0)</f>
        <v>0</v>
      </c>
    </row>
    <row r="67" spans="1:23" x14ac:dyDescent="0.3">
      <c r="B67" s="3" t="s">
        <v>97</v>
      </c>
      <c r="O67" s="2">
        <f>SUMPRODUCT(($N$37:$N$52=O$37:O$52)*($N$37:$N$52&lt;&gt;""))</f>
        <v>1</v>
      </c>
      <c r="T67">
        <v>1</v>
      </c>
      <c r="U67">
        <v>3</v>
      </c>
      <c r="V67">
        <v>4</v>
      </c>
      <c r="W67" cm="1">
        <f t="array" aca="1" ref="W67" ca="1">IF(AND(INDIRECT("B"&amp;(T67+70))="X",INDIRECT("B"&amp;(U67+70))="X",INDIRECT("B"&amp;(V67+70))="X"),1,0)+IF(AND(INDIRECT("C"&amp;(T67+70))="X",INDIRECT("C"&amp;(U67+70))="X",INDIRECT("C"&amp;(V67+70))="X"),1,0)+IF(AND(INDIRECT("D"&amp;(T67+70))="X",INDIRECT("D"&amp;(U67+70))="X",INDIRECT("D"&amp;(V67+70))="X"),1,0)+IF(AND(INDIRECT("E"&amp;(T67+70))="X",INDIRECT("E"&amp;(U67+70))="X",INDIRECT("E"&amp;(V67+70))="X"),1,0)+IF(AND(INDIRECT("F"&amp;(T67+70))="X",INDIRECT("F"&amp;(U67+70))="X",INDIRECT("F"&amp;(V67+70))="X"),1,0)+IF(AND(INDIRECT("G"&amp;(T67+70))="X",INDIRECT("G"&amp;(U67+70))="X",INDIRECT("G"&amp;(V67+70))="X"),1,0)+IF(AND(INDIRECT("H"&amp;(T67+70))="X",INDIRECT("H"&amp;(U67+70))="X",INDIRECT("H"&amp;(V67+70))="X"),1,0)+IF(AND(INDIRECT("I"&amp;(T67+70))="X",INDIRECT("I"&amp;(U67+70))="X",INDIRECT("I"&amp;(V67+70))="X"),1,0)+IF(AND(INDIRECT("J"&amp;(T67+70))="X",INDIRECT("J"&amp;(U67+70))="X",INDIRECT("J"&amp;(V67+70))="X"),1,0)+IF(AND(INDIRECT("K"&amp;(T67+70))="X",INDIRECT("K"&amp;(U67+70))="X",INDIRECT("K"&amp;(V67+70))="X"),1,0)+IF(AND(INDIRECT("L"&amp;(T67+70))="X",INDIRECT("L"&amp;(U67+70))="X",INDIRECT("L"&amp;(V67+70))="X"),1,0)+IF(AND(INDIRECT("M"&amp;(T67+70))="X",INDIRECT("M"&amp;(U67+70))="X",INDIRECT("M"&amp;(V67+70))="X"),1,0)+IF(AND(INDIRECT("N"&amp;(T67+70))="X",INDIRECT("N"&amp;(U67+70))="X",INDIRECT("N"&amp;(V67+70))="X"),1,0)+IF(AND(INDIRECT("O"&amp;(T67+70))="X",INDIRECT("O"&amp;(U67+70))="X",INDIRECT("O"&amp;(V67+70))="X"),1,0)+IF(AND(INDIRECT("P"&amp;(T67+70))="X",INDIRECT("P"&amp;(U67+70))="X",INDIRECT("P"&amp;(V67+70))="X"),1,0)+IF(AND(INDIRECT("Q"&amp;(T67+70))="X",INDIRECT("Q"&amp;(U67+70))="X",INDIRECT("Q"&amp;(V67+70))="X"),1,0)</f>
        <v>2</v>
      </c>
    </row>
    <row r="68" spans="1:23" x14ac:dyDescent="0.3">
      <c r="T68">
        <v>1</v>
      </c>
      <c r="U68">
        <v>3</v>
      </c>
      <c r="V68">
        <v>5</v>
      </c>
      <c r="W68" cm="1">
        <f t="array" aca="1" ref="W68" ca="1">IF(AND(INDIRECT("B"&amp;(T68+70))="X",INDIRECT("B"&amp;(U68+70))="X",INDIRECT("B"&amp;(V68+70))="X"),1,0)+IF(AND(INDIRECT("C"&amp;(T68+70))="X",INDIRECT("C"&amp;(U68+70))="X",INDIRECT("C"&amp;(V68+70))="X"),1,0)+IF(AND(INDIRECT("D"&amp;(T68+70))="X",INDIRECT("D"&amp;(U68+70))="X",INDIRECT("D"&amp;(V68+70))="X"),1,0)+IF(AND(INDIRECT("E"&amp;(T68+70))="X",INDIRECT("E"&amp;(U68+70))="X",INDIRECT("E"&amp;(V68+70))="X"),1,0)+IF(AND(INDIRECT("F"&amp;(T68+70))="X",INDIRECT("F"&amp;(U68+70))="X",INDIRECT("F"&amp;(V68+70))="X"),1,0)+IF(AND(INDIRECT("G"&amp;(T68+70))="X",INDIRECT("G"&amp;(U68+70))="X",INDIRECT("G"&amp;(V68+70))="X"),1,0)+IF(AND(INDIRECT("H"&amp;(T68+70))="X",INDIRECT("H"&amp;(U68+70))="X",INDIRECT("H"&amp;(V68+70))="X"),1,0)+IF(AND(INDIRECT("I"&amp;(T68+70))="X",INDIRECT("I"&amp;(U68+70))="X",INDIRECT("I"&amp;(V68+70))="X"),1,0)+IF(AND(INDIRECT("J"&amp;(T68+70))="X",INDIRECT("J"&amp;(U68+70))="X",INDIRECT("J"&amp;(V68+70))="X"),1,0)+IF(AND(INDIRECT("K"&amp;(T68+70))="X",INDIRECT("K"&amp;(U68+70))="X",INDIRECT("K"&amp;(V68+70))="X"),1,0)+IF(AND(INDIRECT("L"&amp;(T68+70))="X",INDIRECT("L"&amp;(U68+70))="X",INDIRECT("L"&amp;(V68+70))="X"),1,0)+IF(AND(INDIRECT("M"&amp;(T68+70))="X",INDIRECT("M"&amp;(U68+70))="X",INDIRECT("M"&amp;(V68+70))="X"),1,0)+IF(AND(INDIRECT("N"&amp;(T68+70))="X",INDIRECT("N"&amp;(U68+70))="X",INDIRECT("N"&amp;(V68+70))="X"),1,0)+IF(AND(INDIRECT("O"&amp;(T68+70))="X",INDIRECT("O"&amp;(U68+70))="X",INDIRECT("O"&amp;(V68+70))="X"),1,0)+IF(AND(INDIRECT("P"&amp;(T68+70))="X",INDIRECT("P"&amp;(U68+70))="X",INDIRECT("P"&amp;(V68+70))="X"),1,0)+IF(AND(INDIRECT("Q"&amp;(T68+70))="X",INDIRECT("Q"&amp;(U68+70))="X",INDIRECT("Q"&amp;(V68+70))="X"),1,0)</f>
        <v>1</v>
      </c>
    </row>
    <row r="69" spans="1:23" x14ac:dyDescent="0.3">
      <c r="T69">
        <v>1</v>
      </c>
      <c r="U69">
        <v>3</v>
      </c>
      <c r="V69">
        <v>6</v>
      </c>
      <c r="W69" cm="1">
        <f t="array" aca="1" ref="W69" ca="1">IF(AND(INDIRECT("B"&amp;(T69+70))="X",INDIRECT("B"&amp;(U69+70))="X",INDIRECT("B"&amp;(V69+70))="X"),1,0)+IF(AND(INDIRECT("C"&amp;(T69+70))="X",INDIRECT("C"&amp;(U69+70))="X",INDIRECT("C"&amp;(V69+70))="X"),1,0)+IF(AND(INDIRECT("D"&amp;(T69+70))="X",INDIRECT("D"&amp;(U69+70))="X",INDIRECT("D"&amp;(V69+70))="X"),1,0)+IF(AND(INDIRECT("E"&amp;(T69+70))="X",INDIRECT("E"&amp;(U69+70))="X",INDIRECT("E"&amp;(V69+70))="X"),1,0)+IF(AND(INDIRECT("F"&amp;(T69+70))="X",INDIRECT("F"&amp;(U69+70))="X",INDIRECT("F"&amp;(V69+70))="X"),1,0)+IF(AND(INDIRECT("G"&amp;(T69+70))="X",INDIRECT("G"&amp;(U69+70))="X",INDIRECT("G"&amp;(V69+70))="X"),1,0)+IF(AND(INDIRECT("H"&amp;(T69+70))="X",INDIRECT("H"&amp;(U69+70))="X",INDIRECT("H"&amp;(V69+70))="X"),1,0)+IF(AND(INDIRECT("I"&amp;(T69+70))="X",INDIRECT("I"&amp;(U69+70))="X",INDIRECT("I"&amp;(V69+70))="X"),1,0)+IF(AND(INDIRECT("J"&amp;(T69+70))="X",INDIRECT("J"&amp;(U69+70))="X",INDIRECT("J"&amp;(V69+70))="X"),1,0)+IF(AND(INDIRECT("K"&amp;(T69+70))="X",INDIRECT("K"&amp;(U69+70))="X",INDIRECT("K"&amp;(V69+70))="X"),1,0)+IF(AND(INDIRECT("L"&amp;(T69+70))="X",INDIRECT("L"&amp;(U69+70))="X",INDIRECT("L"&amp;(V69+70))="X"),1,0)+IF(AND(INDIRECT("M"&amp;(T69+70))="X",INDIRECT("M"&amp;(U69+70))="X",INDIRECT("M"&amp;(V69+70))="X"),1,0)+IF(AND(INDIRECT("N"&amp;(T69+70))="X",INDIRECT("N"&amp;(U69+70))="X",INDIRECT("N"&amp;(V69+70))="X"),1,0)+IF(AND(INDIRECT("O"&amp;(T69+70))="X",INDIRECT("O"&amp;(U69+70))="X",INDIRECT("O"&amp;(V69+70))="X"),1,0)+IF(AND(INDIRECT("P"&amp;(T69+70))="X",INDIRECT("P"&amp;(U69+70))="X",INDIRECT("P"&amp;(V69+70))="X"),1,0)+IF(AND(INDIRECT("Q"&amp;(T69+70))="X",INDIRECT("Q"&amp;(U69+70))="X",INDIRECT("Q"&amp;(V69+70))="X"),1,0)</f>
        <v>1</v>
      </c>
    </row>
    <row r="70" spans="1:23" x14ac:dyDescent="0.3"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  <c r="N70">
        <v>13</v>
      </c>
      <c r="O70">
        <v>14</v>
      </c>
      <c r="P70">
        <v>15</v>
      </c>
      <c r="Q70">
        <v>16</v>
      </c>
      <c r="T70">
        <v>1</v>
      </c>
      <c r="U70">
        <v>3</v>
      </c>
      <c r="V70">
        <v>7</v>
      </c>
      <c r="W70" cm="1">
        <f t="array" aca="1" ref="W70" ca="1">IF(AND(INDIRECT("B"&amp;(T70+70))="X",INDIRECT("B"&amp;(U70+70))="X",INDIRECT("B"&amp;(V70+70))="X"),1,0)+IF(AND(INDIRECT("C"&amp;(T70+70))="X",INDIRECT("C"&amp;(U70+70))="X",INDIRECT("C"&amp;(V70+70))="X"),1,0)+IF(AND(INDIRECT("D"&amp;(T70+70))="X",INDIRECT("D"&amp;(U70+70))="X",INDIRECT("D"&amp;(V70+70))="X"),1,0)+IF(AND(INDIRECT("E"&amp;(T70+70))="X",INDIRECT("E"&amp;(U70+70))="X",INDIRECT("E"&amp;(V70+70))="X"),1,0)+IF(AND(INDIRECT("F"&amp;(T70+70))="X",INDIRECT("F"&amp;(U70+70))="X",INDIRECT("F"&amp;(V70+70))="X"),1,0)+IF(AND(INDIRECT("G"&amp;(T70+70))="X",INDIRECT("G"&amp;(U70+70))="X",INDIRECT("G"&amp;(V70+70))="X"),1,0)+IF(AND(INDIRECT("H"&amp;(T70+70))="X",INDIRECT("H"&amp;(U70+70))="X",INDIRECT("H"&amp;(V70+70))="X"),1,0)+IF(AND(INDIRECT("I"&amp;(T70+70))="X",INDIRECT("I"&amp;(U70+70))="X",INDIRECT("I"&amp;(V70+70))="X"),1,0)+IF(AND(INDIRECT("J"&amp;(T70+70))="X",INDIRECT("J"&amp;(U70+70))="X",INDIRECT("J"&amp;(V70+70))="X"),1,0)+IF(AND(INDIRECT("K"&amp;(T70+70))="X",INDIRECT("K"&amp;(U70+70))="X",INDIRECT("K"&amp;(V70+70))="X"),1,0)+IF(AND(INDIRECT("L"&amp;(T70+70))="X",INDIRECT("L"&amp;(U70+70))="X",INDIRECT("L"&amp;(V70+70))="X"),1,0)+IF(AND(INDIRECT("M"&amp;(T70+70))="X",INDIRECT("M"&amp;(U70+70))="X",INDIRECT("M"&amp;(V70+70))="X"),1,0)+IF(AND(INDIRECT("N"&amp;(T70+70))="X",INDIRECT("N"&amp;(U70+70))="X",INDIRECT("N"&amp;(V70+70))="X"),1,0)+IF(AND(INDIRECT("O"&amp;(T70+70))="X",INDIRECT("O"&amp;(U70+70))="X",INDIRECT("O"&amp;(V70+70))="X"),1,0)+IF(AND(INDIRECT("P"&amp;(T70+70))="X",INDIRECT("P"&amp;(U70+70))="X",INDIRECT("P"&amp;(V70+70))="X"),1,0)+IF(AND(INDIRECT("Q"&amp;(T70+70))="X",INDIRECT("Q"&amp;(U70+70))="X",INDIRECT("Q"&amp;(V70+70))="X"),1,0)</f>
        <v>3</v>
      </c>
    </row>
    <row r="71" spans="1:23" x14ac:dyDescent="0.3">
      <c r="A71">
        <v>1</v>
      </c>
      <c r="B71" t="str">
        <f>B37</f>
        <v>X</v>
      </c>
      <c r="C71" t="str">
        <f>B38</f>
        <v/>
      </c>
      <c r="D71" t="str">
        <f>B39</f>
        <v>X</v>
      </c>
      <c r="E71" t="str">
        <f>B40</f>
        <v/>
      </c>
      <c r="F71" t="str">
        <f>B41</f>
        <v/>
      </c>
      <c r="G71" t="str">
        <f>B42</f>
        <v>X</v>
      </c>
      <c r="H71" t="str">
        <f>B43</f>
        <v/>
      </c>
      <c r="I71" t="str">
        <f>B44</f>
        <v/>
      </c>
      <c r="J71" t="str">
        <f>B45</f>
        <v>X</v>
      </c>
      <c r="K71" t="str">
        <f>B46</f>
        <v>X</v>
      </c>
      <c r="L71" t="str">
        <f>B47</f>
        <v/>
      </c>
      <c r="M71" t="str">
        <f>B48</f>
        <v>X</v>
      </c>
      <c r="N71" t="str">
        <f>B49</f>
        <v/>
      </c>
      <c r="O71" t="str">
        <f>B50</f>
        <v>X</v>
      </c>
      <c r="P71" t="str">
        <f>B51</f>
        <v>X</v>
      </c>
      <c r="Q71" t="str">
        <f>B52</f>
        <v>X</v>
      </c>
      <c r="T71">
        <v>1</v>
      </c>
      <c r="U71">
        <v>3</v>
      </c>
      <c r="V71">
        <v>8</v>
      </c>
      <c r="W71" cm="1">
        <f t="array" aca="1" ref="W71" ca="1">IF(AND(INDIRECT("B"&amp;(T71+70))="X",INDIRECT("B"&amp;(U71+70))="X",INDIRECT("B"&amp;(V71+70))="X"),1,0)+IF(AND(INDIRECT("C"&amp;(T71+70))="X",INDIRECT("C"&amp;(U71+70))="X",INDIRECT("C"&amp;(V71+70))="X"),1,0)+IF(AND(INDIRECT("D"&amp;(T71+70))="X",INDIRECT("D"&amp;(U71+70))="X",INDIRECT("D"&amp;(V71+70))="X"),1,0)+IF(AND(INDIRECT("E"&amp;(T71+70))="X",INDIRECT("E"&amp;(U71+70))="X",INDIRECT("E"&amp;(V71+70))="X"),1,0)+IF(AND(INDIRECT("F"&amp;(T71+70))="X",INDIRECT("F"&amp;(U71+70))="X",INDIRECT("F"&amp;(V71+70))="X"),1,0)+IF(AND(INDIRECT("G"&amp;(T71+70))="X",INDIRECT("G"&amp;(U71+70))="X",INDIRECT("G"&amp;(V71+70))="X"),1,0)+IF(AND(INDIRECT("H"&amp;(T71+70))="X",INDIRECT("H"&amp;(U71+70))="X",INDIRECT("H"&amp;(V71+70))="X"),1,0)+IF(AND(INDIRECT("I"&amp;(T71+70))="X",INDIRECT("I"&amp;(U71+70))="X",INDIRECT("I"&amp;(V71+70))="X"),1,0)+IF(AND(INDIRECT("J"&amp;(T71+70))="X",INDIRECT("J"&amp;(U71+70))="X",INDIRECT("J"&amp;(V71+70))="X"),1,0)+IF(AND(INDIRECT("K"&amp;(T71+70))="X",INDIRECT("K"&amp;(U71+70))="X",INDIRECT("K"&amp;(V71+70))="X"),1,0)+IF(AND(INDIRECT("L"&amp;(T71+70))="X",INDIRECT("L"&amp;(U71+70))="X",INDIRECT("L"&amp;(V71+70))="X"),1,0)+IF(AND(INDIRECT("M"&amp;(T71+70))="X",INDIRECT("M"&amp;(U71+70))="X",INDIRECT("M"&amp;(V71+70))="X"),1,0)+IF(AND(INDIRECT("N"&amp;(T71+70))="X",INDIRECT("N"&amp;(U71+70))="X",INDIRECT("N"&amp;(V71+70))="X"),1,0)+IF(AND(INDIRECT("O"&amp;(T71+70))="X",INDIRECT("O"&amp;(U71+70))="X",INDIRECT("O"&amp;(V71+70))="X"),1,0)+IF(AND(INDIRECT("P"&amp;(T71+70))="X",INDIRECT("P"&amp;(U71+70))="X",INDIRECT("P"&amp;(V71+70))="X"),1,0)+IF(AND(INDIRECT("Q"&amp;(T71+70))="X",INDIRECT("Q"&amp;(U71+70))="X",INDIRECT("Q"&amp;(V71+70))="X"),1,0)</f>
        <v>3</v>
      </c>
    </row>
    <row r="72" spans="1:23" x14ac:dyDescent="0.3">
      <c r="A72">
        <v>2</v>
      </c>
      <c r="B72" t="str">
        <f>C37</f>
        <v/>
      </c>
      <c r="C72" t="str">
        <f>C38</f>
        <v/>
      </c>
      <c r="D72" t="str">
        <f>C39</f>
        <v>X</v>
      </c>
      <c r="E72" t="str">
        <f>C40</f>
        <v/>
      </c>
      <c r="F72" t="str">
        <f>C41</f>
        <v>X</v>
      </c>
      <c r="G72" t="str">
        <f>C42</f>
        <v>X</v>
      </c>
      <c r="H72" t="str">
        <f>C43</f>
        <v/>
      </c>
      <c r="I72" t="str">
        <f>C44</f>
        <v>X</v>
      </c>
      <c r="J72" t="str">
        <f>C45</f>
        <v/>
      </c>
      <c r="K72" t="str">
        <f>C46</f>
        <v/>
      </c>
      <c r="L72" t="str">
        <f>C47</f>
        <v/>
      </c>
      <c r="M72" t="str">
        <f>C48</f>
        <v/>
      </c>
      <c r="N72" t="str">
        <f>C49</f>
        <v/>
      </c>
      <c r="O72" t="str">
        <f>C50</f>
        <v/>
      </c>
      <c r="P72" t="str">
        <f>C51</f>
        <v/>
      </c>
      <c r="Q72" t="str">
        <f>C52</f>
        <v/>
      </c>
      <c r="T72">
        <v>1</v>
      </c>
      <c r="U72">
        <v>3</v>
      </c>
      <c r="V72">
        <v>9</v>
      </c>
      <c r="W72" cm="1">
        <f t="array" aca="1" ref="W72" ca="1">IF(AND(INDIRECT("B"&amp;(T72+70))="X",INDIRECT("B"&amp;(U72+70))="X",INDIRECT("B"&amp;(V72+70))="X"),1,0)+IF(AND(INDIRECT("C"&amp;(T72+70))="X",INDIRECT("C"&amp;(U72+70))="X",INDIRECT("C"&amp;(V72+70))="X"),1,0)+IF(AND(INDIRECT("D"&amp;(T72+70))="X",INDIRECT("D"&amp;(U72+70))="X",INDIRECT("D"&amp;(V72+70))="X"),1,0)+IF(AND(INDIRECT("E"&amp;(T72+70))="X",INDIRECT("E"&amp;(U72+70))="X",INDIRECT("E"&amp;(V72+70))="X"),1,0)+IF(AND(INDIRECT("F"&amp;(T72+70))="X",INDIRECT("F"&amp;(U72+70))="X",INDIRECT("F"&amp;(V72+70))="X"),1,0)+IF(AND(INDIRECT("G"&amp;(T72+70))="X",INDIRECT("G"&amp;(U72+70))="X",INDIRECT("G"&amp;(V72+70))="X"),1,0)+IF(AND(INDIRECT("H"&amp;(T72+70))="X",INDIRECT("H"&amp;(U72+70))="X",INDIRECT("H"&amp;(V72+70))="X"),1,0)+IF(AND(INDIRECT("I"&amp;(T72+70))="X",INDIRECT("I"&amp;(U72+70))="X",INDIRECT("I"&amp;(V72+70))="X"),1,0)+IF(AND(INDIRECT("J"&amp;(T72+70))="X",INDIRECT("J"&amp;(U72+70))="X",INDIRECT("J"&amp;(V72+70))="X"),1,0)+IF(AND(INDIRECT("K"&amp;(T72+70))="X",INDIRECT("K"&amp;(U72+70))="X",INDIRECT("K"&amp;(V72+70))="X"),1,0)+IF(AND(INDIRECT("L"&amp;(T72+70))="X",INDIRECT("L"&amp;(U72+70))="X",INDIRECT("L"&amp;(V72+70))="X"),1,0)+IF(AND(INDIRECT("M"&amp;(T72+70))="X",INDIRECT("M"&amp;(U72+70))="X",INDIRECT("M"&amp;(V72+70))="X"),1,0)+IF(AND(INDIRECT("N"&amp;(T72+70))="X",INDIRECT("N"&amp;(U72+70))="X",INDIRECT("N"&amp;(V72+70))="X"),1,0)+IF(AND(INDIRECT("O"&amp;(T72+70))="X",INDIRECT("O"&amp;(U72+70))="X",INDIRECT("O"&amp;(V72+70))="X"),1,0)+IF(AND(INDIRECT("P"&amp;(T72+70))="X",INDIRECT("P"&amp;(U72+70))="X",INDIRECT("P"&amp;(V72+70))="X"),1,0)+IF(AND(INDIRECT("Q"&amp;(T72+70))="X",INDIRECT("Q"&amp;(U72+70))="X",INDIRECT("Q"&amp;(V72+70))="X"),1,0)</f>
        <v>0</v>
      </c>
    </row>
    <row r="73" spans="1:23" x14ac:dyDescent="0.3">
      <c r="A73">
        <v>3</v>
      </c>
      <c r="B73" t="str">
        <f>D37</f>
        <v/>
      </c>
      <c r="C73" t="str">
        <f>D38</f>
        <v>X</v>
      </c>
      <c r="D73" t="str">
        <f>D39</f>
        <v/>
      </c>
      <c r="E73" t="str">
        <f>D40</f>
        <v>X</v>
      </c>
      <c r="F73" t="str">
        <f>D41</f>
        <v/>
      </c>
      <c r="G73" t="str">
        <f>D42</f>
        <v/>
      </c>
      <c r="H73" t="str">
        <f>D43</f>
        <v>X</v>
      </c>
      <c r="I73" t="str">
        <f>D44</f>
        <v/>
      </c>
      <c r="J73" t="str">
        <f>D45</f>
        <v>X</v>
      </c>
      <c r="K73" t="str">
        <f>D46</f>
        <v/>
      </c>
      <c r="L73" t="str">
        <f>D47</f>
        <v>X</v>
      </c>
      <c r="M73" t="str">
        <f>D48</f>
        <v>X</v>
      </c>
      <c r="N73" t="str">
        <f>D49</f>
        <v>X</v>
      </c>
      <c r="O73" t="str">
        <f>D50</f>
        <v/>
      </c>
      <c r="P73" t="str">
        <f>D51</f>
        <v>X</v>
      </c>
      <c r="Q73" t="str">
        <f>D52</f>
        <v>X</v>
      </c>
      <c r="T73">
        <v>1</v>
      </c>
      <c r="U73">
        <v>3</v>
      </c>
      <c r="V73">
        <v>10</v>
      </c>
      <c r="W73" cm="1">
        <f t="array" aca="1" ref="W73" ca="1">IF(AND(INDIRECT("B"&amp;(T73+70))="X",INDIRECT("B"&amp;(U73+70))="X",INDIRECT("B"&amp;(V73+70))="X"),1,0)+IF(AND(INDIRECT("C"&amp;(T73+70))="X",INDIRECT("C"&amp;(U73+70))="X",INDIRECT("C"&amp;(V73+70))="X"),1,0)+IF(AND(INDIRECT("D"&amp;(T73+70))="X",INDIRECT("D"&amp;(U73+70))="X",INDIRECT("D"&amp;(V73+70))="X"),1,0)+IF(AND(INDIRECT("E"&amp;(T73+70))="X",INDIRECT("E"&amp;(U73+70))="X",INDIRECT("E"&amp;(V73+70))="X"),1,0)+IF(AND(INDIRECT("F"&amp;(T73+70))="X",INDIRECT("F"&amp;(U73+70))="X",INDIRECT("F"&amp;(V73+70))="X"),1,0)+IF(AND(INDIRECT("G"&amp;(T73+70))="X",INDIRECT("G"&amp;(U73+70))="X",INDIRECT("G"&amp;(V73+70))="X"),1,0)+IF(AND(INDIRECT("H"&amp;(T73+70))="X",INDIRECT("H"&amp;(U73+70))="X",INDIRECT("H"&amp;(V73+70))="X"),1,0)+IF(AND(INDIRECT("I"&amp;(T73+70))="X",INDIRECT("I"&amp;(U73+70))="X",INDIRECT("I"&amp;(V73+70))="X"),1,0)+IF(AND(INDIRECT("J"&amp;(T73+70))="X",INDIRECT("J"&amp;(U73+70))="X",INDIRECT("J"&amp;(V73+70))="X"),1,0)+IF(AND(INDIRECT("K"&amp;(T73+70))="X",INDIRECT("K"&amp;(U73+70))="X",INDIRECT("K"&amp;(V73+70))="X"),1,0)+IF(AND(INDIRECT("L"&amp;(T73+70))="X",INDIRECT("L"&amp;(U73+70))="X",INDIRECT("L"&amp;(V73+70))="X"),1,0)+IF(AND(INDIRECT("M"&amp;(T73+70))="X",INDIRECT("M"&amp;(U73+70))="X",INDIRECT("M"&amp;(V73+70))="X"),1,0)+IF(AND(INDIRECT("N"&amp;(T73+70))="X",INDIRECT("N"&amp;(U73+70))="X",INDIRECT("N"&amp;(V73+70))="X"),1,0)+IF(AND(INDIRECT("O"&amp;(T73+70))="X",INDIRECT("O"&amp;(U73+70))="X",INDIRECT("O"&amp;(V73+70))="X"),1,0)+IF(AND(INDIRECT("P"&amp;(T73+70))="X",INDIRECT("P"&amp;(U73+70))="X",INDIRECT("P"&amp;(V73+70))="X"),1,0)+IF(AND(INDIRECT("Q"&amp;(T73+70))="X",INDIRECT("Q"&amp;(U73+70))="X",INDIRECT("Q"&amp;(V73+70))="X"),1,0)</f>
        <v>0</v>
      </c>
    </row>
    <row r="74" spans="1:23" x14ac:dyDescent="0.3">
      <c r="A74">
        <v>4</v>
      </c>
      <c r="B74" t="str">
        <f>E37</f>
        <v/>
      </c>
      <c r="C74" t="str">
        <f>E38</f>
        <v/>
      </c>
      <c r="D74" t="str">
        <f>E39</f>
        <v>X</v>
      </c>
      <c r="E74" t="str">
        <f>E40</f>
        <v/>
      </c>
      <c r="F74" t="str">
        <f>E41</f>
        <v>X</v>
      </c>
      <c r="G74" t="str">
        <f>E42</f>
        <v>X</v>
      </c>
      <c r="H74" t="str">
        <f>E43</f>
        <v>X</v>
      </c>
      <c r="I74" t="str">
        <f>E44</f>
        <v/>
      </c>
      <c r="J74" t="str">
        <f>E45</f>
        <v>X</v>
      </c>
      <c r="K74" t="str">
        <f>E46</f>
        <v/>
      </c>
      <c r="L74" t="str">
        <f>E47</f>
        <v>X</v>
      </c>
      <c r="M74" t="str">
        <f>E48</f>
        <v/>
      </c>
      <c r="N74" t="str">
        <f>E49</f>
        <v>X</v>
      </c>
      <c r="O74" t="str">
        <f>E50</f>
        <v>X</v>
      </c>
      <c r="P74" t="str">
        <f>E51</f>
        <v/>
      </c>
      <c r="Q74" t="str">
        <f>E52</f>
        <v>X</v>
      </c>
      <c r="T74">
        <v>1</v>
      </c>
      <c r="U74">
        <v>3</v>
      </c>
      <c r="V74">
        <v>11</v>
      </c>
      <c r="W74" cm="1">
        <f t="array" aca="1" ref="W74" ca="1">IF(AND(INDIRECT("B"&amp;(T74+70))="X",INDIRECT("B"&amp;(U74+70))="X",INDIRECT("B"&amp;(V74+70))="X"),1,0)+IF(AND(INDIRECT("C"&amp;(T74+70))="X",INDIRECT("C"&amp;(U74+70))="X",INDIRECT("C"&amp;(V74+70))="X"),1,0)+IF(AND(INDIRECT("D"&amp;(T74+70))="X",INDIRECT("D"&amp;(U74+70))="X",INDIRECT("D"&amp;(V74+70))="X"),1,0)+IF(AND(INDIRECT("E"&amp;(T74+70))="X",INDIRECT("E"&amp;(U74+70))="X",INDIRECT("E"&amp;(V74+70))="X"),1,0)+IF(AND(INDIRECT("F"&amp;(T74+70))="X",INDIRECT("F"&amp;(U74+70))="X",INDIRECT("F"&amp;(V74+70))="X"),1,0)+IF(AND(INDIRECT("G"&amp;(T74+70))="X",INDIRECT("G"&amp;(U74+70))="X",INDIRECT("G"&amp;(V74+70))="X"),1,0)+IF(AND(INDIRECT("H"&amp;(T74+70))="X",INDIRECT("H"&amp;(U74+70))="X",INDIRECT("H"&amp;(V74+70))="X"),1,0)+IF(AND(INDIRECT("I"&amp;(T74+70))="X",INDIRECT("I"&amp;(U74+70))="X",INDIRECT("I"&amp;(V74+70))="X"),1,0)+IF(AND(INDIRECT("J"&amp;(T74+70))="X",INDIRECT("J"&amp;(U74+70))="X",INDIRECT("J"&amp;(V74+70))="X"),1,0)+IF(AND(INDIRECT("K"&amp;(T74+70))="X",INDIRECT("K"&amp;(U74+70))="X",INDIRECT("K"&amp;(V74+70))="X"),1,0)+IF(AND(INDIRECT("L"&amp;(T74+70))="X",INDIRECT("L"&amp;(U74+70))="X",INDIRECT("L"&amp;(V74+70))="X"),1,0)+IF(AND(INDIRECT("M"&amp;(T74+70))="X",INDIRECT("M"&amp;(U74+70))="X",INDIRECT("M"&amp;(V74+70))="X"),1,0)+IF(AND(INDIRECT("N"&amp;(T74+70))="X",INDIRECT("N"&amp;(U74+70))="X",INDIRECT("N"&amp;(V74+70))="X"),1,0)+IF(AND(INDIRECT("O"&amp;(T74+70))="X",INDIRECT("O"&amp;(U74+70))="X",INDIRECT("O"&amp;(V74+70))="X"),1,0)+IF(AND(INDIRECT("P"&amp;(T74+70))="X",INDIRECT("P"&amp;(U74+70))="X",INDIRECT("P"&amp;(V74+70))="X"),1,0)+IF(AND(INDIRECT("Q"&amp;(T74+70))="X",INDIRECT("Q"&amp;(U74+70))="X",INDIRECT("Q"&amp;(V74+70))="X"),1,0)</f>
        <v>1</v>
      </c>
    </row>
    <row r="75" spans="1:23" x14ac:dyDescent="0.3">
      <c r="A75">
        <v>5</v>
      </c>
      <c r="B75" t="str">
        <f>F37</f>
        <v>X</v>
      </c>
      <c r="C75" t="str">
        <f>F38</f>
        <v/>
      </c>
      <c r="D75" t="str">
        <f>F39</f>
        <v>X</v>
      </c>
      <c r="E75" t="str">
        <f>F40</f>
        <v/>
      </c>
      <c r="F75" t="str">
        <f>F41</f>
        <v/>
      </c>
      <c r="G75" t="str">
        <f>F42</f>
        <v>X</v>
      </c>
      <c r="H75" t="str">
        <f>F43</f>
        <v/>
      </c>
      <c r="I75" t="str">
        <f>F44</f>
        <v>X</v>
      </c>
      <c r="J75" t="str">
        <f>F45</f>
        <v/>
      </c>
      <c r="K75" t="str">
        <f>F46</f>
        <v>X</v>
      </c>
      <c r="L75" t="str">
        <f>F47</f>
        <v>X</v>
      </c>
      <c r="M75" t="str">
        <f>F48</f>
        <v>X</v>
      </c>
      <c r="N75" t="str">
        <f>F49</f>
        <v/>
      </c>
      <c r="O75" t="str">
        <f>F50</f>
        <v>X</v>
      </c>
      <c r="P75" t="str">
        <f>F51</f>
        <v/>
      </c>
      <c r="Q75" t="str">
        <f>F52</f>
        <v/>
      </c>
      <c r="T75">
        <v>1</v>
      </c>
      <c r="U75">
        <v>3</v>
      </c>
      <c r="V75">
        <v>12</v>
      </c>
      <c r="W75" cm="1">
        <f t="array" aca="1" ref="W75" ca="1">IF(AND(INDIRECT("B"&amp;(T75+70))="X",INDIRECT("B"&amp;(U75+70))="X",INDIRECT("B"&amp;(V75+70))="X"),1,0)+IF(AND(INDIRECT("C"&amp;(T75+70))="X",INDIRECT("C"&amp;(U75+70))="X",INDIRECT("C"&amp;(V75+70))="X"),1,0)+IF(AND(INDIRECT("D"&amp;(T75+70))="X",INDIRECT("D"&amp;(U75+70))="X",INDIRECT("D"&amp;(V75+70))="X"),1,0)+IF(AND(INDIRECT("E"&amp;(T75+70))="X",INDIRECT("E"&amp;(U75+70))="X",INDIRECT("E"&amp;(V75+70))="X"),1,0)+IF(AND(INDIRECT("F"&amp;(T75+70))="X",INDIRECT("F"&amp;(U75+70))="X",INDIRECT("F"&amp;(V75+70))="X"),1,0)+IF(AND(INDIRECT("G"&amp;(T75+70))="X",INDIRECT("G"&amp;(U75+70))="X",INDIRECT("G"&amp;(V75+70))="X"),1,0)+IF(AND(INDIRECT("H"&amp;(T75+70))="X",INDIRECT("H"&amp;(U75+70))="X",INDIRECT("H"&amp;(V75+70))="X"),1,0)+IF(AND(INDIRECT("I"&amp;(T75+70))="X",INDIRECT("I"&amp;(U75+70))="X",INDIRECT("I"&amp;(V75+70))="X"),1,0)+IF(AND(INDIRECT("J"&amp;(T75+70))="X",INDIRECT("J"&amp;(U75+70))="X",INDIRECT("J"&amp;(V75+70))="X"),1,0)+IF(AND(INDIRECT("K"&amp;(T75+70))="X",INDIRECT("K"&amp;(U75+70))="X",INDIRECT("K"&amp;(V75+70))="X"),1,0)+IF(AND(INDIRECT("L"&amp;(T75+70))="X",INDIRECT("L"&amp;(U75+70))="X",INDIRECT("L"&amp;(V75+70))="X"),1,0)+IF(AND(INDIRECT("M"&amp;(T75+70))="X",INDIRECT("M"&amp;(U75+70))="X",INDIRECT("M"&amp;(V75+70))="X"),1,0)+IF(AND(INDIRECT("N"&amp;(T75+70))="X",INDIRECT("N"&amp;(U75+70))="X",INDIRECT("N"&amp;(V75+70))="X"),1,0)+IF(AND(INDIRECT("O"&amp;(T75+70))="X",INDIRECT("O"&amp;(U75+70))="X",INDIRECT("O"&amp;(V75+70))="X"),1,0)+IF(AND(INDIRECT("P"&amp;(T75+70))="X",INDIRECT("P"&amp;(U75+70))="X",INDIRECT("P"&amp;(V75+70))="X"),1,0)+IF(AND(INDIRECT("Q"&amp;(T75+70))="X",INDIRECT("Q"&amp;(U75+70))="X",INDIRECT("Q"&amp;(V75+70))="X"),1,0)</f>
        <v>3</v>
      </c>
    </row>
    <row r="76" spans="1:23" x14ac:dyDescent="0.3">
      <c r="A76">
        <v>6</v>
      </c>
      <c r="B76" t="str">
        <f>G37</f>
        <v>X</v>
      </c>
      <c r="C76" t="str">
        <f>G38</f>
        <v/>
      </c>
      <c r="D76" t="str">
        <f>G39</f>
        <v/>
      </c>
      <c r="E76" t="str">
        <f>G40</f>
        <v/>
      </c>
      <c r="F76" t="str">
        <f>G41</f>
        <v>X</v>
      </c>
      <c r="G76" t="str">
        <f>G42</f>
        <v/>
      </c>
      <c r="H76" t="str">
        <f>G43</f>
        <v>X</v>
      </c>
      <c r="I76" t="str">
        <f>G44</f>
        <v>X</v>
      </c>
      <c r="J76" t="str">
        <f>G45</f>
        <v/>
      </c>
      <c r="K76" t="str">
        <f>G46</f>
        <v>X</v>
      </c>
      <c r="L76" t="str">
        <f>G47</f>
        <v/>
      </c>
      <c r="M76" t="str">
        <f>G48</f>
        <v>X</v>
      </c>
      <c r="N76" t="str">
        <f>G49</f>
        <v/>
      </c>
      <c r="O76" t="str">
        <f>G50</f>
        <v/>
      </c>
      <c r="P76" t="str">
        <f>G51</f>
        <v/>
      </c>
      <c r="Q76" t="str">
        <f>G52</f>
        <v/>
      </c>
      <c r="T76">
        <v>1</v>
      </c>
      <c r="U76">
        <v>3</v>
      </c>
      <c r="V76">
        <v>13</v>
      </c>
      <c r="W76" cm="1">
        <f t="array" aca="1" ref="W76" ca="1">IF(AND(INDIRECT("B"&amp;(T76+70))="X",INDIRECT("B"&amp;(U76+70))="X",INDIRECT("B"&amp;(V76+70))="X"),1,0)+IF(AND(INDIRECT("C"&amp;(T76+70))="X",INDIRECT("C"&amp;(U76+70))="X",INDIRECT("C"&amp;(V76+70))="X"),1,0)+IF(AND(INDIRECT("D"&amp;(T76+70))="X",INDIRECT("D"&amp;(U76+70))="X",INDIRECT("D"&amp;(V76+70))="X"),1,0)+IF(AND(INDIRECT("E"&amp;(T76+70))="X",INDIRECT("E"&amp;(U76+70))="X",INDIRECT("E"&amp;(V76+70))="X"),1,0)+IF(AND(INDIRECT("F"&amp;(T76+70))="X",INDIRECT("F"&amp;(U76+70))="X",INDIRECT("F"&amp;(V76+70))="X"),1,0)+IF(AND(INDIRECT("G"&amp;(T76+70))="X",INDIRECT("G"&amp;(U76+70))="X",INDIRECT("G"&amp;(V76+70))="X"),1,0)+IF(AND(INDIRECT("H"&amp;(T76+70))="X",INDIRECT("H"&amp;(U76+70))="X",INDIRECT("H"&amp;(V76+70))="X"),1,0)+IF(AND(INDIRECT("I"&amp;(T76+70))="X",INDIRECT("I"&amp;(U76+70))="X",INDIRECT("I"&amp;(V76+70))="X"),1,0)+IF(AND(INDIRECT("J"&amp;(T76+70))="X",INDIRECT("J"&amp;(U76+70))="X",INDIRECT("J"&amp;(V76+70))="X"),1,0)+IF(AND(INDIRECT("K"&amp;(T76+70))="X",INDIRECT("K"&amp;(U76+70))="X",INDIRECT("K"&amp;(V76+70))="X"),1,0)+IF(AND(INDIRECT("L"&amp;(T76+70))="X",INDIRECT("L"&amp;(U76+70))="X",INDIRECT("L"&amp;(V76+70))="X"),1,0)+IF(AND(INDIRECT("M"&amp;(T76+70))="X",INDIRECT("M"&amp;(U76+70))="X",INDIRECT("M"&amp;(V76+70))="X"),1,0)+IF(AND(INDIRECT("N"&amp;(T76+70))="X",INDIRECT("N"&amp;(U76+70))="X",INDIRECT("N"&amp;(V76+70))="X"),1,0)+IF(AND(INDIRECT("O"&amp;(T76+70))="X",INDIRECT("O"&amp;(U76+70))="X",INDIRECT("O"&amp;(V76+70))="X"),1,0)+IF(AND(INDIRECT("P"&amp;(T76+70))="X",INDIRECT("P"&amp;(U76+70))="X",INDIRECT("P"&amp;(V76+70))="X"),1,0)+IF(AND(INDIRECT("Q"&amp;(T76+70))="X",INDIRECT("Q"&amp;(U76+70))="X",INDIRECT("Q"&amp;(V76+70))="X"),1,0)</f>
        <v>3</v>
      </c>
    </row>
    <row r="77" spans="1:23" x14ac:dyDescent="0.3">
      <c r="A77">
        <v>7</v>
      </c>
      <c r="B77" t="str">
        <f>H37</f>
        <v/>
      </c>
      <c r="C77" t="str">
        <f>H38</f>
        <v>X</v>
      </c>
      <c r="D77" t="str">
        <f>H39</f>
        <v>X</v>
      </c>
      <c r="E77" t="str">
        <f>H40</f>
        <v/>
      </c>
      <c r="F77" t="str">
        <f>H41</f>
        <v/>
      </c>
      <c r="G77" t="str">
        <f>H42</f>
        <v>X</v>
      </c>
      <c r="H77" t="str">
        <f>H43</f>
        <v/>
      </c>
      <c r="I77" t="str">
        <f>H44</f>
        <v>X</v>
      </c>
      <c r="J77" t="str">
        <f>H45</f>
        <v>X</v>
      </c>
      <c r="K77" t="str">
        <f>H46</f>
        <v/>
      </c>
      <c r="L77" t="str">
        <f>H47</f>
        <v>X</v>
      </c>
      <c r="M77" t="str">
        <f>H48</f>
        <v/>
      </c>
      <c r="N77" t="str">
        <f>H49</f>
        <v>X</v>
      </c>
      <c r="O77" t="str">
        <f>H50</f>
        <v>X</v>
      </c>
      <c r="P77" t="str">
        <f>H51</f>
        <v>X</v>
      </c>
      <c r="Q77" t="str">
        <f>H52</f>
        <v>X</v>
      </c>
      <c r="T77">
        <v>1</v>
      </c>
      <c r="U77">
        <v>3</v>
      </c>
      <c r="V77">
        <v>14</v>
      </c>
      <c r="W77" cm="1">
        <f t="array" aca="1" ref="W77" ca="1">IF(AND(INDIRECT("B"&amp;(T77+70))="X",INDIRECT("B"&amp;(U77+70))="X",INDIRECT("B"&amp;(V77+70))="X"),1,0)+IF(AND(INDIRECT("C"&amp;(T77+70))="X",INDIRECT("C"&amp;(U77+70))="X",INDIRECT("C"&amp;(V77+70))="X"),1,0)+IF(AND(INDIRECT("D"&amp;(T77+70))="X",INDIRECT("D"&amp;(U77+70))="X",INDIRECT("D"&amp;(V77+70))="X"),1,0)+IF(AND(INDIRECT("E"&amp;(T77+70))="X",INDIRECT("E"&amp;(U77+70))="X",INDIRECT("E"&amp;(V77+70))="X"),1,0)+IF(AND(INDIRECT("F"&amp;(T77+70))="X",INDIRECT("F"&amp;(U77+70))="X",INDIRECT("F"&amp;(V77+70))="X"),1,0)+IF(AND(INDIRECT("G"&amp;(T77+70))="X",INDIRECT("G"&amp;(U77+70))="X",INDIRECT("G"&amp;(V77+70))="X"),1,0)+IF(AND(INDIRECT("H"&amp;(T77+70))="X",INDIRECT("H"&amp;(U77+70))="X",INDIRECT("H"&amp;(V77+70))="X"),1,0)+IF(AND(INDIRECT("I"&amp;(T77+70))="X",INDIRECT("I"&amp;(U77+70))="X",INDIRECT("I"&amp;(V77+70))="X"),1,0)+IF(AND(INDIRECT("J"&amp;(T77+70))="X",INDIRECT("J"&amp;(U77+70))="X",INDIRECT("J"&amp;(V77+70))="X"),1,0)+IF(AND(INDIRECT("K"&amp;(T77+70))="X",INDIRECT("K"&amp;(U77+70))="X",INDIRECT("K"&amp;(V77+70))="X"),1,0)+IF(AND(INDIRECT("L"&amp;(T77+70))="X",INDIRECT("L"&amp;(U77+70))="X",INDIRECT("L"&amp;(V77+70))="X"),1,0)+IF(AND(INDIRECT("M"&amp;(T77+70))="X",INDIRECT("M"&amp;(U77+70))="X",INDIRECT("M"&amp;(V77+70))="X"),1,0)+IF(AND(INDIRECT("N"&amp;(T77+70))="X",INDIRECT("N"&amp;(U77+70))="X",INDIRECT("N"&amp;(V77+70))="X"),1,0)+IF(AND(INDIRECT("O"&amp;(T77+70))="X",INDIRECT("O"&amp;(U77+70))="X",INDIRECT("O"&amp;(V77+70))="X"),1,0)+IF(AND(INDIRECT("P"&amp;(T77+70))="X",INDIRECT("P"&amp;(U77+70))="X",INDIRECT("P"&amp;(V77+70))="X"),1,0)+IF(AND(INDIRECT("Q"&amp;(T77+70))="X",INDIRECT("Q"&amp;(U77+70))="X",INDIRECT("Q"&amp;(V77+70))="X"),1,0)</f>
        <v>0</v>
      </c>
    </row>
    <row r="78" spans="1:23" x14ac:dyDescent="0.3">
      <c r="A78">
        <v>8</v>
      </c>
      <c r="B78" t="str">
        <f>I37</f>
        <v>X</v>
      </c>
      <c r="C78" t="str">
        <f>I38</f>
        <v/>
      </c>
      <c r="D78" t="str">
        <f>I39</f>
        <v/>
      </c>
      <c r="E78" t="str">
        <f>I40</f>
        <v>X</v>
      </c>
      <c r="F78" t="str">
        <f>I41</f>
        <v>X</v>
      </c>
      <c r="G78" t="str">
        <f>I42</f>
        <v/>
      </c>
      <c r="H78" t="str">
        <f>I43</f>
        <v/>
      </c>
      <c r="I78" t="str">
        <f>I44</f>
        <v>X</v>
      </c>
      <c r="J78" t="str">
        <f>I45</f>
        <v/>
      </c>
      <c r="K78" t="str">
        <f>I46</f>
        <v/>
      </c>
      <c r="L78" t="str">
        <f>I47</f>
        <v>X</v>
      </c>
      <c r="M78" t="str">
        <f>I48</f>
        <v>X</v>
      </c>
      <c r="N78" t="str">
        <f>I49</f>
        <v>X</v>
      </c>
      <c r="O78" t="str">
        <f>I50</f>
        <v/>
      </c>
      <c r="P78" t="str">
        <f>I51</f>
        <v>X</v>
      </c>
      <c r="Q78" t="str">
        <f>I52</f>
        <v>X</v>
      </c>
      <c r="T78">
        <v>1</v>
      </c>
      <c r="U78">
        <v>4</v>
      </c>
      <c r="V78">
        <v>5</v>
      </c>
      <c r="W78" cm="1">
        <f t="array" aca="1" ref="W78" ca="1">IF(AND(INDIRECT("B"&amp;(T78+70))="X",INDIRECT("B"&amp;(U78+70))="X",INDIRECT("B"&amp;(V78+70))="X"),1,0)+IF(AND(INDIRECT("C"&amp;(T78+70))="X",INDIRECT("C"&amp;(U78+70))="X",INDIRECT("C"&amp;(V78+70))="X"),1,0)+IF(AND(INDIRECT("D"&amp;(T78+70))="X",INDIRECT("D"&amp;(U78+70))="X",INDIRECT("D"&amp;(V78+70))="X"),1,0)+IF(AND(INDIRECT("E"&amp;(T78+70))="X",INDIRECT("E"&amp;(U78+70))="X",INDIRECT("E"&amp;(V78+70))="X"),1,0)+IF(AND(INDIRECT("F"&amp;(T78+70))="X",INDIRECT("F"&amp;(U78+70))="X",INDIRECT("F"&amp;(V78+70))="X"),1,0)+IF(AND(INDIRECT("G"&amp;(T78+70))="X",INDIRECT("G"&amp;(U78+70))="X",INDIRECT("G"&amp;(V78+70))="X"),1,0)+IF(AND(INDIRECT("H"&amp;(T78+70))="X",INDIRECT("H"&amp;(U78+70))="X",INDIRECT("H"&amp;(V78+70))="X"),1,0)+IF(AND(INDIRECT("I"&amp;(T78+70))="X",INDIRECT("I"&amp;(U78+70))="X",INDIRECT("I"&amp;(V78+70))="X"),1,0)+IF(AND(INDIRECT("J"&amp;(T78+70))="X",INDIRECT("J"&amp;(U78+70))="X",INDIRECT("J"&amp;(V78+70))="X"),1,0)+IF(AND(INDIRECT("K"&amp;(T78+70))="X",INDIRECT("K"&amp;(U78+70))="X",INDIRECT("K"&amp;(V78+70))="X"),1,0)+IF(AND(INDIRECT("L"&amp;(T78+70))="X",INDIRECT("L"&amp;(U78+70))="X",INDIRECT("L"&amp;(V78+70))="X"),1,0)+IF(AND(INDIRECT("M"&amp;(T78+70))="X",INDIRECT("M"&amp;(U78+70))="X",INDIRECT("M"&amp;(V78+70))="X"),1,0)+IF(AND(INDIRECT("N"&amp;(T78+70))="X",INDIRECT("N"&amp;(U78+70))="X",INDIRECT("N"&amp;(V78+70))="X"),1,0)+IF(AND(INDIRECT("O"&amp;(T78+70))="X",INDIRECT("O"&amp;(U78+70))="X",INDIRECT("O"&amp;(V78+70))="X"),1,0)+IF(AND(INDIRECT("P"&amp;(T78+70))="X",INDIRECT("P"&amp;(U78+70))="X",INDIRECT("P"&amp;(V78+70))="X"),1,0)+IF(AND(INDIRECT("Q"&amp;(T78+70))="X",INDIRECT("Q"&amp;(U78+70))="X",INDIRECT("Q"&amp;(V78+70))="X"),1,0)</f>
        <v>3</v>
      </c>
    </row>
    <row r="79" spans="1:23" x14ac:dyDescent="0.3">
      <c r="A79">
        <v>9</v>
      </c>
      <c r="B79" t="str">
        <f>J37</f>
        <v/>
      </c>
      <c r="C79" t="str">
        <f>J38</f>
        <v>X</v>
      </c>
      <c r="D79" t="str">
        <f>J39</f>
        <v/>
      </c>
      <c r="E79" t="str">
        <f>J40</f>
        <v>X</v>
      </c>
      <c r="F79" t="str">
        <f>J41</f>
        <v/>
      </c>
      <c r="G79" t="str">
        <f>J42</f>
        <v>X</v>
      </c>
      <c r="H79" t="str">
        <f>J43</f>
        <v/>
      </c>
      <c r="I79" t="str">
        <f>J44</f>
        <v>X</v>
      </c>
      <c r="J79" t="str">
        <f>J45</f>
        <v/>
      </c>
      <c r="K79" t="str">
        <f>J46</f>
        <v>X</v>
      </c>
      <c r="L79" t="str">
        <f>J47</f>
        <v/>
      </c>
      <c r="M79" t="str">
        <f>J48</f>
        <v/>
      </c>
      <c r="N79" t="str">
        <f>J49</f>
        <v/>
      </c>
      <c r="O79" t="str">
        <f>J50</f>
        <v/>
      </c>
      <c r="P79" t="str">
        <f>J51</f>
        <v/>
      </c>
      <c r="Q79" t="str">
        <f>J52</f>
        <v/>
      </c>
      <c r="T79">
        <v>1</v>
      </c>
      <c r="U79">
        <v>4</v>
      </c>
      <c r="V79">
        <v>6</v>
      </c>
      <c r="W79" cm="1">
        <f t="array" aca="1" ref="W79" ca="1">IF(AND(INDIRECT("B"&amp;(T79+70))="X",INDIRECT("B"&amp;(U79+70))="X",INDIRECT("B"&amp;(V79+70))="X"),1,0)+IF(AND(INDIRECT("C"&amp;(T79+70))="X",INDIRECT("C"&amp;(U79+70))="X",INDIRECT("C"&amp;(V79+70))="X"),1,0)+IF(AND(INDIRECT("D"&amp;(T79+70))="X",INDIRECT("D"&amp;(U79+70))="X",INDIRECT("D"&amp;(V79+70))="X"),1,0)+IF(AND(INDIRECT("E"&amp;(T79+70))="X",INDIRECT("E"&amp;(U79+70))="X",INDIRECT("E"&amp;(V79+70))="X"),1,0)+IF(AND(INDIRECT("F"&amp;(T79+70))="X",INDIRECT("F"&amp;(U79+70))="X",INDIRECT("F"&amp;(V79+70))="X"),1,0)+IF(AND(INDIRECT("G"&amp;(T79+70))="X",INDIRECT("G"&amp;(U79+70))="X",INDIRECT("G"&amp;(V79+70))="X"),1,0)+IF(AND(INDIRECT("H"&amp;(T79+70))="X",INDIRECT("H"&amp;(U79+70))="X",INDIRECT("H"&amp;(V79+70))="X"),1,0)+IF(AND(INDIRECT("I"&amp;(T79+70))="X",INDIRECT("I"&amp;(U79+70))="X",INDIRECT("I"&amp;(V79+70))="X"),1,0)+IF(AND(INDIRECT("J"&amp;(T79+70))="X",INDIRECT("J"&amp;(U79+70))="X",INDIRECT("J"&amp;(V79+70))="X"),1,0)+IF(AND(INDIRECT("K"&amp;(T79+70))="X",INDIRECT("K"&amp;(U79+70))="X",INDIRECT("K"&amp;(V79+70))="X"),1,0)+IF(AND(INDIRECT("L"&amp;(T79+70))="X",INDIRECT("L"&amp;(U79+70))="X",INDIRECT("L"&amp;(V79+70))="X"),1,0)+IF(AND(INDIRECT("M"&amp;(T79+70))="X",INDIRECT("M"&amp;(U79+70))="X",INDIRECT("M"&amp;(V79+70))="X"),1,0)+IF(AND(INDIRECT("N"&amp;(T79+70))="X",INDIRECT("N"&amp;(U79+70))="X",INDIRECT("N"&amp;(V79+70))="X"),1,0)+IF(AND(INDIRECT("O"&amp;(T79+70))="X",INDIRECT("O"&amp;(U79+70))="X",INDIRECT("O"&amp;(V79+70))="X"),1,0)+IF(AND(INDIRECT("P"&amp;(T79+70))="X",INDIRECT("P"&amp;(U79+70))="X",INDIRECT("P"&amp;(V79+70))="X"),1,0)+IF(AND(INDIRECT("Q"&amp;(T79+70))="X",INDIRECT("Q"&amp;(U79+70))="X",INDIRECT("Q"&amp;(V79+70))="X"),1,0)</f>
        <v>0</v>
      </c>
    </row>
    <row r="80" spans="1:23" x14ac:dyDescent="0.3">
      <c r="A80">
        <v>10</v>
      </c>
      <c r="B80" t="str">
        <f>K37</f>
        <v>X</v>
      </c>
      <c r="C80" t="str">
        <f>K38</f>
        <v/>
      </c>
      <c r="D80" t="str">
        <f>K39</f>
        <v/>
      </c>
      <c r="E80" t="str">
        <f>K40</f>
        <v>X</v>
      </c>
      <c r="F80" t="str">
        <f>K41</f>
        <v/>
      </c>
      <c r="G80" t="str">
        <f>K42</f>
        <v/>
      </c>
      <c r="H80" t="str">
        <f>K43</f>
        <v>X</v>
      </c>
      <c r="I80" t="str">
        <f>K44</f>
        <v>X</v>
      </c>
      <c r="J80" t="str">
        <f>K45</f>
        <v/>
      </c>
      <c r="K80" t="str">
        <f>K46</f>
        <v>X</v>
      </c>
      <c r="L80" t="str">
        <f>K47</f>
        <v/>
      </c>
      <c r="M80" t="str">
        <f>K48</f>
        <v/>
      </c>
      <c r="N80" t="str">
        <f>K49</f>
        <v/>
      </c>
      <c r="O80" t="str">
        <f>K50</f>
        <v/>
      </c>
      <c r="P80" t="str">
        <f>K51</f>
        <v/>
      </c>
      <c r="Q80" t="str">
        <f>K52</f>
        <v/>
      </c>
      <c r="T80">
        <v>1</v>
      </c>
      <c r="U80">
        <v>4</v>
      </c>
      <c r="V80">
        <v>7</v>
      </c>
      <c r="W80" cm="1">
        <f t="array" aca="1" ref="W80" ca="1">IF(AND(INDIRECT("B"&amp;(T80+70))="X",INDIRECT("B"&amp;(U80+70))="X",INDIRECT("B"&amp;(V80+70))="X"),1,0)+IF(AND(INDIRECT("C"&amp;(T80+70))="X",INDIRECT("C"&amp;(U80+70))="X",INDIRECT("C"&amp;(V80+70))="X"),1,0)+IF(AND(INDIRECT("D"&amp;(T80+70))="X",INDIRECT("D"&amp;(U80+70))="X",INDIRECT("D"&amp;(V80+70))="X"),1,0)+IF(AND(INDIRECT("E"&amp;(T80+70))="X",INDIRECT("E"&amp;(U80+70))="X",INDIRECT("E"&amp;(V80+70))="X"),1,0)+IF(AND(INDIRECT("F"&amp;(T80+70))="X",INDIRECT("F"&amp;(U80+70))="X",INDIRECT("F"&amp;(V80+70))="X"),1,0)+IF(AND(INDIRECT("G"&amp;(T80+70))="X",INDIRECT("G"&amp;(U80+70))="X",INDIRECT("G"&amp;(V80+70))="X"),1,0)+IF(AND(INDIRECT("H"&amp;(T80+70))="X",INDIRECT("H"&amp;(U80+70))="X",INDIRECT("H"&amp;(V80+70))="X"),1,0)+IF(AND(INDIRECT("I"&amp;(T80+70))="X",INDIRECT("I"&amp;(U80+70))="X",INDIRECT("I"&amp;(V80+70))="X"),1,0)+IF(AND(INDIRECT("J"&amp;(T80+70))="X",INDIRECT("J"&amp;(U80+70))="X",INDIRECT("J"&amp;(V80+70))="X"),1,0)+IF(AND(INDIRECT("K"&amp;(T80+70))="X",INDIRECT("K"&amp;(U80+70))="X",INDIRECT("K"&amp;(V80+70))="X"),1,0)+IF(AND(INDIRECT("L"&amp;(T80+70))="X",INDIRECT("L"&amp;(U80+70))="X",INDIRECT("L"&amp;(V80+70))="X"),1,0)+IF(AND(INDIRECT("M"&amp;(T80+70))="X",INDIRECT("M"&amp;(U80+70))="X",INDIRECT("M"&amp;(V80+70))="X"),1,0)+IF(AND(INDIRECT("N"&amp;(T80+70))="X",INDIRECT("N"&amp;(U80+70))="X",INDIRECT("N"&amp;(V80+70))="X"),1,0)+IF(AND(INDIRECT("O"&amp;(T80+70))="X",INDIRECT("O"&amp;(U80+70))="X",INDIRECT("O"&amp;(V80+70))="X"),1,0)+IF(AND(INDIRECT("P"&amp;(T80+70))="X",INDIRECT("P"&amp;(U80+70))="X",INDIRECT("P"&amp;(V80+70))="X"),1,0)+IF(AND(INDIRECT("Q"&amp;(T80+70))="X",INDIRECT("Q"&amp;(U80+70))="X",INDIRECT("Q"&amp;(V80+70))="X"),1,0)</f>
        <v>5</v>
      </c>
    </row>
    <row r="81" spans="1:23" x14ac:dyDescent="0.3">
      <c r="A81">
        <v>11</v>
      </c>
      <c r="B81" t="str">
        <f>L37</f>
        <v/>
      </c>
      <c r="C81" t="str">
        <f>L38</f>
        <v>X</v>
      </c>
      <c r="D81" t="str">
        <f>L39</f>
        <v>X</v>
      </c>
      <c r="E81" t="str">
        <f>L40</f>
        <v/>
      </c>
      <c r="F81" t="str">
        <f>L41</f>
        <v/>
      </c>
      <c r="G81" t="str">
        <f>L42</f>
        <v/>
      </c>
      <c r="H81" t="str">
        <f>L43</f>
        <v>X</v>
      </c>
      <c r="I81" t="str">
        <f>L44</f>
        <v/>
      </c>
      <c r="J81" t="str">
        <f>L45</f>
        <v>X</v>
      </c>
      <c r="K81" t="str">
        <f>L46</f>
        <v>X</v>
      </c>
      <c r="L81" t="str">
        <f>L47</f>
        <v/>
      </c>
      <c r="M81" t="str">
        <f>L48</f>
        <v/>
      </c>
      <c r="N81" t="str">
        <f>L49</f>
        <v>X</v>
      </c>
      <c r="O81" t="str">
        <f>L50</f>
        <v>X</v>
      </c>
      <c r="P81" t="str">
        <f>L51</f>
        <v/>
      </c>
      <c r="Q81" t="str">
        <f>L52</f>
        <v/>
      </c>
      <c r="T81">
        <v>1</v>
      </c>
      <c r="U81">
        <v>4</v>
      </c>
      <c r="V81">
        <v>8</v>
      </c>
      <c r="W81" cm="1">
        <f t="array" aca="1" ref="W81" ca="1">IF(AND(INDIRECT("B"&amp;(T81+70))="X",INDIRECT("B"&amp;(U81+70))="X",INDIRECT("B"&amp;(V81+70))="X"),1,0)+IF(AND(INDIRECT("C"&amp;(T81+70))="X",INDIRECT("C"&amp;(U81+70))="X",INDIRECT("C"&amp;(V81+70))="X"),1,0)+IF(AND(INDIRECT("D"&amp;(T81+70))="X",INDIRECT("D"&amp;(U81+70))="X",INDIRECT("D"&amp;(V81+70))="X"),1,0)+IF(AND(INDIRECT("E"&amp;(T81+70))="X",INDIRECT("E"&amp;(U81+70))="X",INDIRECT("E"&amp;(V81+70))="X"),1,0)+IF(AND(INDIRECT("F"&amp;(T81+70))="X",INDIRECT("F"&amp;(U81+70))="X",INDIRECT("F"&amp;(V81+70))="X"),1,0)+IF(AND(INDIRECT("G"&amp;(T81+70))="X",INDIRECT("G"&amp;(U81+70))="X",INDIRECT("G"&amp;(V81+70))="X"),1,0)+IF(AND(INDIRECT("H"&amp;(T81+70))="X",INDIRECT("H"&amp;(U81+70))="X",INDIRECT("H"&amp;(V81+70))="X"),1,0)+IF(AND(INDIRECT("I"&amp;(T81+70))="X",INDIRECT("I"&amp;(U81+70))="X",INDIRECT("I"&amp;(V81+70))="X"),1,0)+IF(AND(INDIRECT("J"&amp;(T81+70))="X",INDIRECT("J"&amp;(U81+70))="X",INDIRECT("J"&amp;(V81+70))="X"),1,0)+IF(AND(INDIRECT("K"&amp;(T81+70))="X",INDIRECT("K"&amp;(U81+70))="X",INDIRECT("K"&amp;(V81+70))="X"),1,0)+IF(AND(INDIRECT("L"&amp;(T81+70))="X",INDIRECT("L"&amp;(U81+70))="X",INDIRECT("L"&amp;(V81+70))="X"),1,0)+IF(AND(INDIRECT("M"&amp;(T81+70))="X",INDIRECT("M"&amp;(U81+70))="X",INDIRECT("M"&amp;(V81+70))="X"),1,0)+IF(AND(INDIRECT("N"&amp;(T81+70))="X",INDIRECT("N"&amp;(U81+70))="X",INDIRECT("N"&amp;(V81+70))="X"),1,0)+IF(AND(INDIRECT("O"&amp;(T81+70))="X",INDIRECT("O"&amp;(U81+70))="X",INDIRECT("O"&amp;(V81+70))="X"),1,0)+IF(AND(INDIRECT("P"&amp;(T81+70))="X",INDIRECT("P"&amp;(U81+70))="X",INDIRECT("P"&amp;(V81+70))="X"),1,0)+IF(AND(INDIRECT("Q"&amp;(T81+70))="X",INDIRECT("Q"&amp;(U81+70))="X",INDIRECT("Q"&amp;(V81+70))="X"),1,0)</f>
        <v>1</v>
      </c>
    </row>
    <row r="82" spans="1:23" x14ac:dyDescent="0.3">
      <c r="A82">
        <v>12</v>
      </c>
      <c r="B82" t="str">
        <f>M37</f>
        <v/>
      </c>
      <c r="C82" t="str">
        <f>M38</f>
        <v>X</v>
      </c>
      <c r="D82" t="str">
        <f>M39</f>
        <v/>
      </c>
      <c r="E82" t="str">
        <f>M40</f>
        <v>X</v>
      </c>
      <c r="F82" t="str">
        <f>M41</f>
        <v>X</v>
      </c>
      <c r="G82" t="str">
        <f>M42</f>
        <v/>
      </c>
      <c r="H82" t="str">
        <f>M43</f>
        <v>X</v>
      </c>
      <c r="I82" t="str">
        <f>M44</f>
        <v/>
      </c>
      <c r="J82" t="str">
        <f>M45</f>
        <v/>
      </c>
      <c r="K82" t="str">
        <f>M46</f>
        <v/>
      </c>
      <c r="L82" t="str">
        <f>M47</f>
        <v>X</v>
      </c>
      <c r="M82" t="str">
        <f>M48</f>
        <v>X</v>
      </c>
      <c r="N82" t="str">
        <f>M49</f>
        <v/>
      </c>
      <c r="O82" t="str">
        <f>M50</f>
        <v>X</v>
      </c>
      <c r="P82" t="str">
        <f>M51</f>
        <v>X</v>
      </c>
      <c r="Q82" t="str">
        <f>M52</f>
        <v>X</v>
      </c>
      <c r="T82">
        <v>1</v>
      </c>
      <c r="U82">
        <v>4</v>
      </c>
      <c r="V82">
        <v>9</v>
      </c>
      <c r="W82" cm="1">
        <f t="array" aca="1" ref="W82" ca="1">IF(AND(INDIRECT("B"&amp;(T82+70))="X",INDIRECT("B"&amp;(U82+70))="X",INDIRECT("B"&amp;(V82+70))="X"),1,0)+IF(AND(INDIRECT("C"&amp;(T82+70))="X",INDIRECT("C"&amp;(U82+70))="X",INDIRECT("C"&amp;(V82+70))="X"),1,0)+IF(AND(INDIRECT("D"&amp;(T82+70))="X",INDIRECT("D"&amp;(U82+70))="X",INDIRECT("D"&amp;(V82+70))="X"),1,0)+IF(AND(INDIRECT("E"&amp;(T82+70))="X",INDIRECT("E"&amp;(U82+70))="X",INDIRECT("E"&amp;(V82+70))="X"),1,0)+IF(AND(INDIRECT("F"&amp;(T82+70))="X",INDIRECT("F"&amp;(U82+70))="X",INDIRECT("F"&amp;(V82+70))="X"),1,0)+IF(AND(INDIRECT("G"&amp;(T82+70))="X",INDIRECT("G"&amp;(U82+70))="X",INDIRECT("G"&amp;(V82+70))="X"),1,0)+IF(AND(INDIRECT("H"&amp;(T82+70))="X",INDIRECT("H"&amp;(U82+70))="X",INDIRECT("H"&amp;(V82+70))="X"),1,0)+IF(AND(INDIRECT("I"&amp;(T82+70))="X",INDIRECT("I"&amp;(U82+70))="X",INDIRECT("I"&amp;(V82+70))="X"),1,0)+IF(AND(INDIRECT("J"&amp;(T82+70))="X",INDIRECT("J"&amp;(U82+70))="X",INDIRECT("J"&amp;(V82+70))="X"),1,0)+IF(AND(INDIRECT("K"&amp;(T82+70))="X",INDIRECT("K"&amp;(U82+70))="X",INDIRECT("K"&amp;(V82+70))="X"),1,0)+IF(AND(INDIRECT("L"&amp;(T82+70))="X",INDIRECT("L"&amp;(U82+70))="X",INDIRECT("L"&amp;(V82+70))="X"),1,0)+IF(AND(INDIRECT("M"&amp;(T82+70))="X",INDIRECT("M"&amp;(U82+70))="X",INDIRECT("M"&amp;(V82+70))="X"),1,0)+IF(AND(INDIRECT("N"&amp;(T82+70))="X",INDIRECT("N"&amp;(U82+70))="X",INDIRECT("N"&amp;(V82+70))="X"),1,0)+IF(AND(INDIRECT("O"&amp;(T82+70))="X",INDIRECT("O"&amp;(U82+70))="X",INDIRECT("O"&amp;(V82+70))="X"),1,0)+IF(AND(INDIRECT("P"&amp;(T82+70))="X",INDIRECT("P"&amp;(U82+70))="X",INDIRECT("P"&amp;(V82+70))="X"),1,0)+IF(AND(INDIRECT("Q"&amp;(T82+70))="X",INDIRECT("Q"&amp;(U82+70))="X",INDIRECT("Q"&amp;(V82+70))="X"),1,0)</f>
        <v>1</v>
      </c>
    </row>
    <row r="83" spans="1:23" x14ac:dyDescent="0.3">
      <c r="A83">
        <v>13</v>
      </c>
      <c r="B83" t="str">
        <f>N37</f>
        <v/>
      </c>
      <c r="C83" t="str">
        <f>N38</f>
        <v>X</v>
      </c>
      <c r="D83" t="str">
        <f>N39</f>
        <v/>
      </c>
      <c r="E83" t="str">
        <f>N40</f>
        <v>X</v>
      </c>
      <c r="F83" t="str">
        <f>N41</f>
        <v/>
      </c>
      <c r="G83" t="str">
        <f>N42</f>
        <v>X</v>
      </c>
      <c r="H83" t="str">
        <f>N43</f>
        <v/>
      </c>
      <c r="I83" t="str">
        <f>N44</f>
        <v/>
      </c>
      <c r="J83" t="str">
        <f>N45</f>
        <v>X</v>
      </c>
      <c r="K83" t="str">
        <f>N46</f>
        <v>X</v>
      </c>
      <c r="L83" t="str">
        <f>N47</f>
        <v/>
      </c>
      <c r="M83" t="str">
        <f>N48</f>
        <v>X</v>
      </c>
      <c r="N83" t="str">
        <f>N49</f>
        <v>X</v>
      </c>
      <c r="O83" t="str">
        <f>N50</f>
        <v/>
      </c>
      <c r="P83" t="str">
        <f>N51</f>
        <v>X</v>
      </c>
      <c r="Q83" t="str">
        <f>N52</f>
        <v/>
      </c>
      <c r="T83">
        <v>1</v>
      </c>
      <c r="U83">
        <v>4</v>
      </c>
      <c r="V83">
        <v>10</v>
      </c>
      <c r="W83" cm="1">
        <f t="array" aca="1" ref="W83" ca="1">IF(AND(INDIRECT("B"&amp;(T83+70))="X",INDIRECT("B"&amp;(U83+70))="X",INDIRECT("B"&amp;(V83+70))="X"),1,0)+IF(AND(INDIRECT("C"&amp;(T83+70))="X",INDIRECT("C"&amp;(U83+70))="X",INDIRECT("C"&amp;(V83+70))="X"),1,0)+IF(AND(INDIRECT("D"&amp;(T83+70))="X",INDIRECT("D"&amp;(U83+70))="X",INDIRECT("D"&amp;(V83+70))="X"),1,0)+IF(AND(INDIRECT("E"&amp;(T83+70))="X",INDIRECT("E"&amp;(U83+70))="X",INDIRECT("E"&amp;(V83+70))="X"),1,0)+IF(AND(INDIRECT("F"&amp;(T83+70))="X",INDIRECT("F"&amp;(U83+70))="X",INDIRECT("F"&amp;(V83+70))="X"),1,0)+IF(AND(INDIRECT("G"&amp;(T83+70))="X",INDIRECT("G"&amp;(U83+70))="X",INDIRECT("G"&amp;(V83+70))="X"),1,0)+IF(AND(INDIRECT("H"&amp;(T83+70))="X",INDIRECT("H"&amp;(U83+70))="X",INDIRECT("H"&amp;(V83+70))="X"),1,0)+IF(AND(INDIRECT("I"&amp;(T83+70))="X",INDIRECT("I"&amp;(U83+70))="X",INDIRECT("I"&amp;(V83+70))="X"),1,0)+IF(AND(INDIRECT("J"&amp;(T83+70))="X",INDIRECT("J"&amp;(U83+70))="X",INDIRECT("J"&amp;(V83+70))="X"),1,0)+IF(AND(INDIRECT("K"&amp;(T83+70))="X",INDIRECT("K"&amp;(U83+70))="X",INDIRECT("K"&amp;(V83+70))="X"),1,0)+IF(AND(INDIRECT("L"&amp;(T83+70))="X",INDIRECT("L"&amp;(U83+70))="X",INDIRECT("L"&amp;(V83+70))="X"),1,0)+IF(AND(INDIRECT("M"&amp;(T83+70))="X",INDIRECT("M"&amp;(U83+70))="X",INDIRECT("M"&amp;(V83+70))="X"),1,0)+IF(AND(INDIRECT("N"&amp;(T83+70))="X",INDIRECT("N"&amp;(U83+70))="X",INDIRECT("N"&amp;(V83+70))="X"),1,0)+IF(AND(INDIRECT("O"&amp;(T83+70))="X",INDIRECT("O"&amp;(U83+70))="X",INDIRECT("O"&amp;(V83+70))="X"),1,0)+IF(AND(INDIRECT("P"&amp;(T83+70))="X",INDIRECT("P"&amp;(U83+70))="X",INDIRECT("P"&amp;(V83+70))="X"),1,0)+IF(AND(INDIRECT("Q"&amp;(T83+70))="X",INDIRECT("Q"&amp;(U83+70))="X",INDIRECT("Q"&amp;(V83+70))="X"),1,0)</f>
        <v>0</v>
      </c>
    </row>
    <row r="84" spans="1:23" x14ac:dyDescent="0.3">
      <c r="A84">
        <v>14</v>
      </c>
      <c r="B84" t="str">
        <f>O37</f>
        <v>X</v>
      </c>
      <c r="C84" t="str">
        <f>O38</f>
        <v/>
      </c>
      <c r="D84" t="str">
        <f>O39</f>
        <v/>
      </c>
      <c r="E84" t="str">
        <f>O40</f>
        <v>X</v>
      </c>
      <c r="F84" t="str">
        <f>O41</f>
        <v>X</v>
      </c>
      <c r="G84" t="str">
        <f>O42</f>
        <v/>
      </c>
      <c r="H84" t="str">
        <f>O43</f>
        <v>X</v>
      </c>
      <c r="I84" t="str">
        <f>O44</f>
        <v/>
      </c>
      <c r="J84" t="str">
        <f>O45</f>
        <v/>
      </c>
      <c r="K84" t="str">
        <f>O46</f>
        <v/>
      </c>
      <c r="L84" t="str">
        <f>O47</f>
        <v>X</v>
      </c>
      <c r="M84" t="str">
        <f>O48</f>
        <v/>
      </c>
      <c r="N84" t="str">
        <f>O49</f>
        <v/>
      </c>
      <c r="O84" t="str">
        <f>O50</f>
        <v/>
      </c>
      <c r="P84" t="str">
        <f>O51</f>
        <v/>
      </c>
      <c r="Q84" t="str">
        <f>O52</f>
        <v/>
      </c>
      <c r="T84">
        <v>1</v>
      </c>
      <c r="U84">
        <v>4</v>
      </c>
      <c r="V84">
        <v>11</v>
      </c>
      <c r="W84" cm="1">
        <f t="array" aca="1" ref="W84" ca="1">IF(AND(INDIRECT("B"&amp;(T84+70))="X",INDIRECT("B"&amp;(U84+70))="X",INDIRECT("B"&amp;(V84+70))="X"),1,0)+IF(AND(INDIRECT("C"&amp;(T84+70))="X",INDIRECT("C"&amp;(U84+70))="X",INDIRECT("C"&amp;(V84+70))="X"),1,0)+IF(AND(INDIRECT("D"&amp;(T84+70))="X",INDIRECT("D"&amp;(U84+70))="X",INDIRECT("D"&amp;(V84+70))="X"),1,0)+IF(AND(INDIRECT("E"&amp;(T84+70))="X",INDIRECT("E"&amp;(U84+70))="X",INDIRECT("E"&amp;(V84+70))="X"),1,0)+IF(AND(INDIRECT("F"&amp;(T84+70))="X",INDIRECT("F"&amp;(U84+70))="X",INDIRECT("F"&amp;(V84+70))="X"),1,0)+IF(AND(INDIRECT("G"&amp;(T84+70))="X",INDIRECT("G"&amp;(U84+70))="X",INDIRECT("G"&amp;(V84+70))="X"),1,0)+IF(AND(INDIRECT("H"&amp;(T84+70))="X",INDIRECT("H"&amp;(U84+70))="X",INDIRECT("H"&amp;(V84+70))="X"),1,0)+IF(AND(INDIRECT("I"&amp;(T84+70))="X",INDIRECT("I"&amp;(U84+70))="X",INDIRECT("I"&amp;(V84+70))="X"),1,0)+IF(AND(INDIRECT("J"&amp;(T84+70))="X",INDIRECT("J"&amp;(U84+70))="X",INDIRECT("J"&amp;(V84+70))="X"),1,0)+IF(AND(INDIRECT("K"&amp;(T84+70))="X",INDIRECT("K"&amp;(U84+70))="X",INDIRECT("K"&amp;(V84+70))="X"),1,0)+IF(AND(INDIRECT("L"&amp;(T84+70))="X",INDIRECT("L"&amp;(U84+70))="X",INDIRECT("L"&amp;(V84+70))="X"),1,0)+IF(AND(INDIRECT("M"&amp;(T84+70))="X",INDIRECT("M"&amp;(U84+70))="X",INDIRECT("M"&amp;(V84+70))="X"),1,0)+IF(AND(INDIRECT("N"&amp;(T84+70))="X",INDIRECT("N"&amp;(U84+70))="X",INDIRECT("N"&amp;(V84+70))="X"),1,0)+IF(AND(INDIRECT("O"&amp;(T84+70))="X",INDIRECT("O"&amp;(U84+70))="X",INDIRECT("O"&amp;(V84+70))="X"),1,0)+IF(AND(INDIRECT("P"&amp;(T84+70))="X",INDIRECT("P"&amp;(U84+70))="X",INDIRECT("P"&amp;(V84+70))="X"),1,0)+IF(AND(INDIRECT("Q"&amp;(T84+70))="X",INDIRECT("Q"&amp;(U84+70))="X",INDIRECT("Q"&amp;(V84+70))="X"),1,0)</f>
        <v>3</v>
      </c>
    </row>
    <row r="85" spans="1:23" x14ac:dyDescent="0.3">
      <c r="T85">
        <v>1</v>
      </c>
      <c r="U85">
        <v>4</v>
      </c>
      <c r="V85">
        <v>12</v>
      </c>
      <c r="W85" cm="1">
        <f t="array" aca="1" ref="W85" ca="1">IF(AND(INDIRECT("B"&amp;(T85+70))="X",INDIRECT("B"&amp;(U85+70))="X",INDIRECT("B"&amp;(V85+70))="X"),1,0)+IF(AND(INDIRECT("C"&amp;(T85+70))="X",INDIRECT("C"&amp;(U85+70))="X",INDIRECT("C"&amp;(V85+70))="X"),1,0)+IF(AND(INDIRECT("D"&amp;(T85+70))="X",INDIRECT("D"&amp;(U85+70))="X",INDIRECT("D"&amp;(V85+70))="X"),1,0)+IF(AND(INDIRECT("E"&amp;(T85+70))="X",INDIRECT("E"&amp;(U85+70))="X",INDIRECT("E"&amp;(V85+70))="X"),1,0)+IF(AND(INDIRECT("F"&amp;(T85+70))="X",INDIRECT("F"&amp;(U85+70))="X",INDIRECT("F"&amp;(V85+70))="X"),1,0)+IF(AND(INDIRECT("G"&amp;(T85+70))="X",INDIRECT("G"&amp;(U85+70))="X",INDIRECT("G"&amp;(V85+70))="X"),1,0)+IF(AND(INDIRECT("H"&amp;(T85+70))="X",INDIRECT("H"&amp;(U85+70))="X",INDIRECT("H"&amp;(V85+70))="X"),1,0)+IF(AND(INDIRECT("I"&amp;(T85+70))="X",INDIRECT("I"&amp;(U85+70))="X",INDIRECT("I"&amp;(V85+70))="X"),1,0)+IF(AND(INDIRECT("J"&amp;(T85+70))="X",INDIRECT("J"&amp;(U85+70))="X",INDIRECT("J"&amp;(V85+70))="X"),1,0)+IF(AND(INDIRECT("K"&amp;(T85+70))="X",INDIRECT("K"&amp;(U85+70))="X",INDIRECT("K"&amp;(V85+70))="X"),1,0)+IF(AND(INDIRECT("L"&amp;(T85+70))="X",INDIRECT("L"&amp;(U85+70))="X",INDIRECT("L"&amp;(V85+70))="X"),1,0)+IF(AND(INDIRECT("M"&amp;(T85+70))="X",INDIRECT("M"&amp;(U85+70))="X",INDIRECT("M"&amp;(V85+70))="X"),1,0)+IF(AND(INDIRECT("N"&amp;(T85+70))="X",INDIRECT("N"&amp;(U85+70))="X",INDIRECT("N"&amp;(V85+70))="X"),1,0)+IF(AND(INDIRECT("O"&amp;(T85+70))="X",INDIRECT("O"&amp;(U85+70))="X",INDIRECT("O"&amp;(V85+70))="X"),1,0)+IF(AND(INDIRECT("P"&amp;(T85+70))="X",INDIRECT("P"&amp;(U85+70))="X",INDIRECT("P"&amp;(V85+70))="X"),1,0)+IF(AND(INDIRECT("Q"&amp;(T85+70))="X",INDIRECT("Q"&amp;(U85+70))="X",INDIRECT("Q"&amp;(V85+70))="X"),1,0)</f>
        <v>2</v>
      </c>
    </row>
    <row r="86" spans="1:23" x14ac:dyDescent="0.3">
      <c r="T86">
        <v>1</v>
      </c>
      <c r="U86">
        <v>4</v>
      </c>
      <c r="V86">
        <v>13</v>
      </c>
      <c r="W86" cm="1">
        <f t="array" aca="1" ref="W86" ca="1">IF(AND(INDIRECT("B"&amp;(T86+70))="X",INDIRECT("B"&amp;(U86+70))="X",INDIRECT("B"&amp;(V86+70))="X"),1,0)+IF(AND(INDIRECT("C"&amp;(T86+70))="X",INDIRECT("C"&amp;(U86+70))="X",INDIRECT("C"&amp;(V86+70))="X"),1,0)+IF(AND(INDIRECT("D"&amp;(T86+70))="X",INDIRECT("D"&amp;(U86+70))="X",INDIRECT("D"&amp;(V86+70))="X"),1,0)+IF(AND(INDIRECT("E"&amp;(T86+70))="X",INDIRECT("E"&amp;(U86+70))="X",INDIRECT("E"&amp;(V86+70))="X"),1,0)+IF(AND(INDIRECT("F"&amp;(T86+70))="X",INDIRECT("F"&amp;(U86+70))="X",INDIRECT("F"&amp;(V86+70))="X"),1,0)+IF(AND(INDIRECT("G"&amp;(T86+70))="X",INDIRECT("G"&amp;(U86+70))="X",INDIRECT("G"&amp;(V86+70))="X"),1,0)+IF(AND(INDIRECT("H"&amp;(T86+70))="X",INDIRECT("H"&amp;(U86+70))="X",INDIRECT("H"&amp;(V86+70))="X"),1,0)+IF(AND(INDIRECT("I"&amp;(T86+70))="X",INDIRECT("I"&amp;(U86+70))="X",INDIRECT("I"&amp;(V86+70))="X"),1,0)+IF(AND(INDIRECT("J"&amp;(T86+70))="X",INDIRECT("J"&amp;(U86+70))="X",INDIRECT("J"&amp;(V86+70))="X"),1,0)+IF(AND(INDIRECT("K"&amp;(T86+70))="X",INDIRECT("K"&amp;(U86+70))="X",INDIRECT("K"&amp;(V86+70))="X"),1,0)+IF(AND(INDIRECT("L"&amp;(T86+70))="X",INDIRECT("L"&amp;(U86+70))="X",INDIRECT("L"&amp;(V86+70))="X"),1,0)+IF(AND(INDIRECT("M"&amp;(T86+70))="X",INDIRECT("M"&amp;(U86+70))="X",INDIRECT("M"&amp;(V86+70))="X"),1,0)+IF(AND(INDIRECT("N"&amp;(T86+70))="X",INDIRECT("N"&amp;(U86+70))="X",INDIRECT("N"&amp;(V86+70))="X"),1,0)+IF(AND(INDIRECT("O"&amp;(T86+70))="X",INDIRECT("O"&amp;(U86+70))="X",INDIRECT("O"&amp;(V86+70))="X"),1,0)+IF(AND(INDIRECT("P"&amp;(T86+70))="X",INDIRECT("P"&amp;(U86+70))="X",INDIRECT("P"&amp;(V86+70))="X"),1,0)+IF(AND(INDIRECT("Q"&amp;(T86+70))="X",INDIRECT("Q"&amp;(U86+70))="X",INDIRECT("Q"&amp;(V86+70))="X"),1,0)</f>
        <v>2</v>
      </c>
    </row>
    <row r="87" spans="1:23" x14ac:dyDescent="0.3">
      <c r="T87">
        <v>1</v>
      </c>
      <c r="U87">
        <v>4</v>
      </c>
      <c r="V87">
        <v>14</v>
      </c>
      <c r="W87" cm="1">
        <f t="array" aca="1" ref="W87" ca="1">IF(AND(INDIRECT("B"&amp;(T87+70))="X",INDIRECT("B"&amp;(U87+70))="X",INDIRECT("B"&amp;(V87+70))="X"),1,0)+IF(AND(INDIRECT("C"&amp;(T87+70))="X",INDIRECT("C"&amp;(U87+70))="X",INDIRECT("C"&amp;(V87+70))="X"),1,0)+IF(AND(INDIRECT("D"&amp;(T87+70))="X",INDIRECT("D"&amp;(U87+70))="X",INDIRECT("D"&amp;(V87+70))="X"),1,0)+IF(AND(INDIRECT("E"&amp;(T87+70))="X",INDIRECT("E"&amp;(U87+70))="X",INDIRECT("E"&amp;(V87+70))="X"),1,0)+IF(AND(INDIRECT("F"&amp;(T87+70))="X",INDIRECT("F"&amp;(U87+70))="X",INDIRECT("F"&amp;(V87+70))="X"),1,0)+IF(AND(INDIRECT("G"&amp;(T87+70))="X",INDIRECT("G"&amp;(U87+70))="X",INDIRECT("G"&amp;(V87+70))="X"),1,0)+IF(AND(INDIRECT("H"&amp;(T87+70))="X",INDIRECT("H"&amp;(U87+70))="X",INDIRECT("H"&amp;(V87+70))="X"),1,0)+IF(AND(INDIRECT("I"&amp;(T87+70))="X",INDIRECT("I"&amp;(U87+70))="X",INDIRECT("I"&amp;(V87+70))="X"),1,0)+IF(AND(INDIRECT("J"&amp;(T87+70))="X",INDIRECT("J"&amp;(U87+70))="X",INDIRECT("J"&amp;(V87+70))="X"),1,0)+IF(AND(INDIRECT("K"&amp;(T87+70))="X",INDIRECT("K"&amp;(U87+70))="X",INDIRECT("K"&amp;(V87+70))="X"),1,0)+IF(AND(INDIRECT("L"&amp;(T87+70))="X",INDIRECT("L"&amp;(U87+70))="X",INDIRECT("L"&amp;(V87+70))="X"),1,0)+IF(AND(INDIRECT("M"&amp;(T87+70))="X",INDIRECT("M"&amp;(U87+70))="X",INDIRECT("M"&amp;(V87+70))="X"),1,0)+IF(AND(INDIRECT("N"&amp;(T87+70))="X",INDIRECT("N"&amp;(U87+70))="X",INDIRECT("N"&amp;(V87+70))="X"),1,0)+IF(AND(INDIRECT("O"&amp;(T87+70))="X",INDIRECT("O"&amp;(U87+70))="X",INDIRECT("O"&amp;(V87+70))="X"),1,0)+IF(AND(INDIRECT("P"&amp;(T87+70))="X",INDIRECT("P"&amp;(U87+70))="X",INDIRECT("P"&amp;(V87+70))="X"),1,0)+IF(AND(INDIRECT("Q"&amp;(T87+70))="X",INDIRECT("Q"&amp;(U87+70))="X",INDIRECT("Q"&amp;(V87+70))="X"),1,0)</f>
        <v>0</v>
      </c>
    </row>
    <row r="88" spans="1:23" x14ac:dyDescent="0.3">
      <c r="T88">
        <v>1</v>
      </c>
      <c r="U88">
        <v>5</v>
      </c>
      <c r="V88">
        <v>6</v>
      </c>
      <c r="W88" cm="1">
        <f t="array" aca="1" ref="W88" ca="1">IF(AND(INDIRECT("B"&amp;(T88+70))="X",INDIRECT("B"&amp;(U88+70))="X",INDIRECT("B"&amp;(V88+70))="X"),1,0)+IF(AND(INDIRECT("C"&amp;(T88+70))="X",INDIRECT("C"&amp;(U88+70))="X",INDIRECT("C"&amp;(V88+70))="X"),1,0)+IF(AND(INDIRECT("D"&amp;(T88+70))="X",INDIRECT("D"&amp;(U88+70))="X",INDIRECT("D"&amp;(V88+70))="X"),1,0)+IF(AND(INDIRECT("E"&amp;(T88+70))="X",INDIRECT("E"&amp;(U88+70))="X",INDIRECT("E"&amp;(V88+70))="X"),1,0)+IF(AND(INDIRECT("F"&amp;(T88+70))="X",INDIRECT("F"&amp;(U88+70))="X",INDIRECT("F"&amp;(V88+70))="X"),1,0)+IF(AND(INDIRECT("G"&amp;(T88+70))="X",INDIRECT("G"&amp;(U88+70))="X",INDIRECT("G"&amp;(V88+70))="X"),1,0)+IF(AND(INDIRECT("H"&amp;(T88+70))="X",INDIRECT("H"&amp;(U88+70))="X",INDIRECT("H"&amp;(V88+70))="X"),1,0)+IF(AND(INDIRECT("I"&amp;(T88+70))="X",INDIRECT("I"&amp;(U88+70))="X",INDIRECT("I"&amp;(V88+70))="X"),1,0)+IF(AND(INDIRECT("J"&amp;(T88+70))="X",INDIRECT("J"&amp;(U88+70))="X",INDIRECT("J"&amp;(V88+70))="X"),1,0)+IF(AND(INDIRECT("K"&amp;(T88+70))="X",INDIRECT("K"&amp;(U88+70))="X",INDIRECT("K"&amp;(V88+70))="X"),1,0)+IF(AND(INDIRECT("L"&amp;(T88+70))="X",INDIRECT("L"&amp;(U88+70))="X",INDIRECT("L"&amp;(V88+70))="X"),1,0)+IF(AND(INDIRECT("M"&amp;(T88+70))="X",INDIRECT("M"&amp;(U88+70))="X",INDIRECT("M"&amp;(V88+70))="X"),1,0)+IF(AND(INDIRECT("N"&amp;(T88+70))="X",INDIRECT("N"&amp;(U88+70))="X",INDIRECT("N"&amp;(V88+70))="X"),1,0)+IF(AND(INDIRECT("O"&amp;(T88+70))="X",INDIRECT("O"&amp;(U88+70))="X",INDIRECT("O"&amp;(V88+70))="X"),1,0)+IF(AND(INDIRECT("P"&amp;(T88+70))="X",INDIRECT("P"&amp;(U88+70))="X",INDIRECT("P"&amp;(V88+70))="X"),1,0)+IF(AND(INDIRECT("Q"&amp;(T88+70))="X",INDIRECT("Q"&amp;(U88+70))="X",INDIRECT("Q"&amp;(V88+70))="X"),1,0)</f>
        <v>3</v>
      </c>
    </row>
    <row r="89" spans="1:23" x14ac:dyDescent="0.3">
      <c r="T89">
        <v>1</v>
      </c>
      <c r="U89">
        <v>5</v>
      </c>
      <c r="V89">
        <v>7</v>
      </c>
      <c r="W89" cm="1">
        <f t="array" aca="1" ref="W89" ca="1">IF(AND(INDIRECT("B"&amp;(T89+70))="X",INDIRECT("B"&amp;(U89+70))="X",INDIRECT("B"&amp;(V89+70))="X"),1,0)+IF(AND(INDIRECT("C"&amp;(T89+70))="X",INDIRECT("C"&amp;(U89+70))="X",INDIRECT("C"&amp;(V89+70))="X"),1,0)+IF(AND(INDIRECT("D"&amp;(T89+70))="X",INDIRECT("D"&amp;(U89+70))="X",INDIRECT("D"&amp;(V89+70))="X"),1,0)+IF(AND(INDIRECT("E"&amp;(T89+70))="X",INDIRECT("E"&amp;(U89+70))="X",INDIRECT("E"&amp;(V89+70))="X"),1,0)+IF(AND(INDIRECT("F"&amp;(T89+70))="X",INDIRECT("F"&amp;(U89+70))="X",INDIRECT("F"&amp;(V89+70))="X"),1,0)+IF(AND(INDIRECT("G"&amp;(T89+70))="X",INDIRECT("G"&amp;(U89+70))="X",INDIRECT("G"&amp;(V89+70))="X"),1,0)+IF(AND(INDIRECT("H"&amp;(T89+70))="X",INDIRECT("H"&amp;(U89+70))="X",INDIRECT("H"&amp;(V89+70))="X"),1,0)+IF(AND(INDIRECT("I"&amp;(T89+70))="X",INDIRECT("I"&amp;(U89+70))="X",INDIRECT("I"&amp;(V89+70))="X"),1,0)+IF(AND(INDIRECT("J"&amp;(T89+70))="X",INDIRECT("J"&amp;(U89+70))="X",INDIRECT("J"&amp;(V89+70))="X"),1,0)+IF(AND(INDIRECT("K"&amp;(T89+70))="X",INDIRECT("K"&amp;(U89+70))="X",INDIRECT("K"&amp;(V89+70))="X"),1,0)+IF(AND(INDIRECT("L"&amp;(T89+70))="X",INDIRECT("L"&amp;(U89+70))="X",INDIRECT("L"&amp;(V89+70))="X"),1,0)+IF(AND(INDIRECT("M"&amp;(T89+70))="X",INDIRECT("M"&amp;(U89+70))="X",INDIRECT("M"&amp;(V89+70))="X"),1,0)+IF(AND(INDIRECT("N"&amp;(T89+70))="X",INDIRECT("N"&amp;(U89+70))="X",INDIRECT("N"&amp;(V89+70))="X"),1,0)+IF(AND(INDIRECT("O"&amp;(T89+70))="X",INDIRECT("O"&amp;(U89+70))="X",INDIRECT("O"&amp;(V89+70))="X"),1,0)+IF(AND(INDIRECT("P"&amp;(T89+70))="X",INDIRECT("P"&amp;(U89+70))="X",INDIRECT("P"&amp;(V89+70))="X"),1,0)+IF(AND(INDIRECT("Q"&amp;(T89+70))="X",INDIRECT("Q"&amp;(U89+70))="X",INDIRECT("Q"&amp;(V89+70))="X"),1,0)</f>
        <v>3</v>
      </c>
    </row>
    <row r="90" spans="1:23" x14ac:dyDescent="0.3">
      <c r="T90">
        <v>1</v>
      </c>
      <c r="U90">
        <v>5</v>
      </c>
      <c r="V90">
        <v>8</v>
      </c>
      <c r="W90" cm="1">
        <f t="array" aca="1" ref="W90" ca="1">IF(AND(INDIRECT("B"&amp;(T90+70))="X",INDIRECT("B"&amp;(U90+70))="X",INDIRECT("B"&amp;(V90+70))="X"),1,0)+IF(AND(INDIRECT("C"&amp;(T90+70))="X",INDIRECT("C"&amp;(U90+70))="X",INDIRECT("C"&amp;(V90+70))="X"),1,0)+IF(AND(INDIRECT("D"&amp;(T90+70))="X",INDIRECT("D"&amp;(U90+70))="X",INDIRECT("D"&amp;(V90+70))="X"),1,0)+IF(AND(INDIRECT("E"&amp;(T90+70))="X",INDIRECT("E"&amp;(U90+70))="X",INDIRECT("E"&amp;(V90+70))="X"),1,0)+IF(AND(INDIRECT("F"&amp;(T90+70))="X",INDIRECT("F"&amp;(U90+70))="X",INDIRECT("F"&amp;(V90+70))="X"),1,0)+IF(AND(INDIRECT("G"&amp;(T90+70))="X",INDIRECT("G"&amp;(U90+70))="X",INDIRECT("G"&amp;(V90+70))="X"),1,0)+IF(AND(INDIRECT("H"&amp;(T90+70))="X",INDIRECT("H"&amp;(U90+70))="X",INDIRECT("H"&amp;(V90+70))="X"),1,0)+IF(AND(INDIRECT("I"&amp;(T90+70))="X",INDIRECT("I"&amp;(U90+70))="X",INDIRECT("I"&amp;(V90+70))="X"),1,0)+IF(AND(INDIRECT("J"&amp;(T90+70))="X",INDIRECT("J"&amp;(U90+70))="X",INDIRECT("J"&amp;(V90+70))="X"),1,0)+IF(AND(INDIRECT("K"&amp;(T90+70))="X",INDIRECT("K"&amp;(U90+70))="X",INDIRECT("K"&amp;(V90+70))="X"),1,0)+IF(AND(INDIRECT("L"&amp;(T90+70))="X",INDIRECT("L"&amp;(U90+70))="X",INDIRECT("L"&amp;(V90+70))="X"),1,0)+IF(AND(INDIRECT("M"&amp;(T90+70))="X",INDIRECT("M"&amp;(U90+70))="X",INDIRECT("M"&amp;(V90+70))="X"),1,0)+IF(AND(INDIRECT("N"&amp;(T90+70))="X",INDIRECT("N"&amp;(U90+70))="X",INDIRECT("N"&amp;(V90+70))="X"),1,0)+IF(AND(INDIRECT("O"&amp;(T90+70))="X",INDIRECT("O"&amp;(U90+70))="X",INDIRECT("O"&amp;(V90+70))="X"),1,0)+IF(AND(INDIRECT("P"&amp;(T90+70))="X",INDIRECT("P"&amp;(U90+70))="X",INDIRECT("P"&amp;(V90+70))="X"),1,0)+IF(AND(INDIRECT("Q"&amp;(T90+70))="X",INDIRECT("Q"&amp;(U90+70))="X",INDIRECT("Q"&amp;(V90+70))="X"),1,0)</f>
        <v>2</v>
      </c>
    </row>
    <row r="91" spans="1:23" x14ac:dyDescent="0.3">
      <c r="T91">
        <v>1</v>
      </c>
      <c r="U91">
        <v>5</v>
      </c>
      <c r="V91">
        <v>9</v>
      </c>
      <c r="W91" cm="1">
        <f t="array" aca="1" ref="W91" ca="1">IF(AND(INDIRECT("B"&amp;(T91+70))="X",INDIRECT("B"&amp;(U91+70))="X",INDIRECT("B"&amp;(V91+70))="X"),1,0)+IF(AND(INDIRECT("C"&amp;(T91+70))="X",INDIRECT("C"&amp;(U91+70))="X",INDIRECT("C"&amp;(V91+70))="X"),1,0)+IF(AND(INDIRECT("D"&amp;(T91+70))="X",INDIRECT("D"&amp;(U91+70))="X",INDIRECT("D"&amp;(V91+70))="X"),1,0)+IF(AND(INDIRECT("E"&amp;(T91+70))="X",INDIRECT("E"&amp;(U91+70))="X",INDIRECT("E"&amp;(V91+70))="X"),1,0)+IF(AND(INDIRECT("F"&amp;(T91+70))="X",INDIRECT("F"&amp;(U91+70))="X",INDIRECT("F"&amp;(V91+70))="X"),1,0)+IF(AND(INDIRECT("G"&amp;(T91+70))="X",INDIRECT("G"&amp;(U91+70))="X",INDIRECT("G"&amp;(V91+70))="X"),1,0)+IF(AND(INDIRECT("H"&amp;(T91+70))="X",INDIRECT("H"&amp;(U91+70))="X",INDIRECT("H"&amp;(V91+70))="X"),1,0)+IF(AND(INDIRECT("I"&amp;(T91+70))="X",INDIRECT("I"&amp;(U91+70))="X",INDIRECT("I"&amp;(V91+70))="X"),1,0)+IF(AND(INDIRECT("J"&amp;(T91+70))="X",INDIRECT("J"&amp;(U91+70))="X",INDIRECT("J"&amp;(V91+70))="X"),1,0)+IF(AND(INDIRECT("K"&amp;(T91+70))="X",INDIRECT("K"&amp;(U91+70))="X",INDIRECT("K"&amp;(V91+70))="X"),1,0)+IF(AND(INDIRECT("L"&amp;(T91+70))="X",INDIRECT("L"&amp;(U91+70))="X",INDIRECT("L"&amp;(V91+70))="X"),1,0)+IF(AND(INDIRECT("M"&amp;(T91+70))="X",INDIRECT("M"&amp;(U91+70))="X",INDIRECT("M"&amp;(V91+70))="X"),1,0)+IF(AND(INDIRECT("N"&amp;(T91+70))="X",INDIRECT("N"&amp;(U91+70))="X",INDIRECT("N"&amp;(V91+70))="X"),1,0)+IF(AND(INDIRECT("O"&amp;(T91+70))="X",INDIRECT("O"&amp;(U91+70))="X",INDIRECT("O"&amp;(V91+70))="X"),1,0)+IF(AND(INDIRECT("P"&amp;(T91+70))="X",INDIRECT("P"&amp;(U91+70))="X",INDIRECT("P"&amp;(V91+70))="X"),1,0)+IF(AND(INDIRECT("Q"&amp;(T91+70))="X",INDIRECT("Q"&amp;(U91+70))="X",INDIRECT("Q"&amp;(V91+70))="X"),1,0)</f>
        <v>2</v>
      </c>
    </row>
    <row r="92" spans="1:23" x14ac:dyDescent="0.3">
      <c r="T92">
        <v>1</v>
      </c>
      <c r="U92">
        <v>5</v>
      </c>
      <c r="V92">
        <v>10</v>
      </c>
      <c r="W92" cm="1">
        <f t="array" aca="1" ref="W92" ca="1">IF(AND(INDIRECT("B"&amp;(T92+70))="X",INDIRECT("B"&amp;(U92+70))="X",INDIRECT("B"&amp;(V92+70))="X"),1,0)+IF(AND(INDIRECT("C"&amp;(T92+70))="X",INDIRECT("C"&amp;(U92+70))="X",INDIRECT("C"&amp;(V92+70))="X"),1,0)+IF(AND(INDIRECT("D"&amp;(T92+70))="X",INDIRECT("D"&amp;(U92+70))="X",INDIRECT("D"&amp;(V92+70))="X"),1,0)+IF(AND(INDIRECT("E"&amp;(T92+70))="X",INDIRECT("E"&amp;(U92+70))="X",INDIRECT("E"&amp;(V92+70))="X"),1,0)+IF(AND(INDIRECT("F"&amp;(T92+70))="X",INDIRECT("F"&amp;(U92+70))="X",INDIRECT("F"&amp;(V92+70))="X"),1,0)+IF(AND(INDIRECT("G"&amp;(T92+70))="X",INDIRECT("G"&amp;(U92+70))="X",INDIRECT("G"&amp;(V92+70))="X"),1,0)+IF(AND(INDIRECT("H"&amp;(T92+70))="X",INDIRECT("H"&amp;(U92+70))="X",INDIRECT("H"&amp;(V92+70))="X"),1,0)+IF(AND(INDIRECT("I"&amp;(T92+70))="X",INDIRECT("I"&amp;(U92+70))="X",INDIRECT("I"&amp;(V92+70))="X"),1,0)+IF(AND(INDIRECT("J"&amp;(T92+70))="X",INDIRECT("J"&amp;(U92+70))="X",INDIRECT("J"&amp;(V92+70))="X"),1,0)+IF(AND(INDIRECT("K"&amp;(T92+70))="X",INDIRECT("K"&amp;(U92+70))="X",INDIRECT("K"&amp;(V92+70))="X"),1,0)+IF(AND(INDIRECT("L"&amp;(T92+70))="X",INDIRECT("L"&amp;(U92+70))="X",INDIRECT("L"&amp;(V92+70))="X"),1,0)+IF(AND(INDIRECT("M"&amp;(T92+70))="X",INDIRECT("M"&amp;(U92+70))="X",INDIRECT("M"&amp;(V92+70))="X"),1,0)+IF(AND(INDIRECT("N"&amp;(T92+70))="X",INDIRECT("N"&amp;(U92+70))="X",INDIRECT("N"&amp;(V92+70))="X"),1,0)+IF(AND(INDIRECT("O"&amp;(T92+70))="X",INDIRECT("O"&amp;(U92+70))="X",INDIRECT("O"&amp;(V92+70))="X"),1,0)+IF(AND(INDIRECT("P"&amp;(T92+70))="X",INDIRECT("P"&amp;(U92+70))="X",INDIRECT("P"&amp;(V92+70))="X"),1,0)+IF(AND(INDIRECT("Q"&amp;(T92+70))="X",INDIRECT("Q"&amp;(U92+70))="X",INDIRECT("Q"&amp;(V92+70))="X"),1,0)</f>
        <v>2</v>
      </c>
    </row>
    <row r="93" spans="1:23" x14ac:dyDescent="0.3">
      <c r="T93">
        <v>1</v>
      </c>
      <c r="U93">
        <v>5</v>
      </c>
      <c r="V93">
        <v>11</v>
      </c>
      <c r="W93" cm="1">
        <f t="array" aca="1" ref="W93" ca="1">IF(AND(INDIRECT("B"&amp;(T93+70))="X",INDIRECT("B"&amp;(U93+70))="X",INDIRECT("B"&amp;(V93+70))="X"),1,0)+IF(AND(INDIRECT("C"&amp;(T93+70))="X",INDIRECT("C"&amp;(U93+70))="X",INDIRECT("C"&amp;(V93+70))="X"),1,0)+IF(AND(INDIRECT("D"&amp;(T93+70))="X",INDIRECT("D"&amp;(U93+70))="X",INDIRECT("D"&amp;(V93+70))="X"),1,0)+IF(AND(INDIRECT("E"&amp;(T93+70))="X",INDIRECT("E"&amp;(U93+70))="X",INDIRECT("E"&amp;(V93+70))="X"),1,0)+IF(AND(INDIRECT("F"&amp;(T93+70))="X",INDIRECT("F"&amp;(U93+70))="X",INDIRECT("F"&amp;(V93+70))="X"),1,0)+IF(AND(INDIRECT("G"&amp;(T93+70))="X",INDIRECT("G"&amp;(U93+70))="X",INDIRECT("G"&amp;(V93+70))="X"),1,0)+IF(AND(INDIRECT("H"&amp;(T93+70))="X",INDIRECT("H"&amp;(U93+70))="X",INDIRECT("H"&amp;(V93+70))="X"),1,0)+IF(AND(INDIRECT("I"&amp;(T93+70))="X",INDIRECT("I"&amp;(U93+70))="X",INDIRECT("I"&amp;(V93+70))="X"),1,0)+IF(AND(INDIRECT("J"&amp;(T93+70))="X",INDIRECT("J"&amp;(U93+70))="X",INDIRECT("J"&amp;(V93+70))="X"),1,0)+IF(AND(INDIRECT("K"&amp;(T93+70))="X",INDIRECT("K"&amp;(U93+70))="X",INDIRECT("K"&amp;(V93+70))="X"),1,0)+IF(AND(INDIRECT("L"&amp;(T93+70))="X",INDIRECT("L"&amp;(U93+70))="X",INDIRECT("L"&amp;(V93+70))="X"),1,0)+IF(AND(INDIRECT("M"&amp;(T93+70))="X",INDIRECT("M"&amp;(U93+70))="X",INDIRECT("M"&amp;(V93+70))="X"),1,0)+IF(AND(INDIRECT("N"&amp;(T93+70))="X",INDIRECT("N"&amp;(U93+70))="X",INDIRECT("N"&amp;(V93+70))="X"),1,0)+IF(AND(INDIRECT("O"&amp;(T93+70))="X",INDIRECT("O"&amp;(U93+70))="X",INDIRECT("O"&amp;(V93+70))="X"),1,0)+IF(AND(INDIRECT("P"&amp;(T93+70))="X",INDIRECT("P"&amp;(U93+70))="X",INDIRECT("P"&amp;(V93+70))="X"),1,0)+IF(AND(INDIRECT("Q"&amp;(T93+70))="X",INDIRECT("Q"&amp;(U93+70))="X",INDIRECT("Q"&amp;(V93+70))="X"),1,0)</f>
        <v>3</v>
      </c>
    </row>
    <row r="94" spans="1:23" x14ac:dyDescent="0.3">
      <c r="T94">
        <v>1</v>
      </c>
      <c r="U94">
        <v>5</v>
      </c>
      <c r="V94">
        <v>12</v>
      </c>
      <c r="W94" cm="1">
        <f t="array" aca="1" ref="W94" ca="1">IF(AND(INDIRECT("B"&amp;(T94+70))="X",INDIRECT("B"&amp;(U94+70))="X",INDIRECT("B"&amp;(V94+70))="X"),1,0)+IF(AND(INDIRECT("C"&amp;(T94+70))="X",INDIRECT("C"&amp;(U94+70))="X",INDIRECT("C"&amp;(V94+70))="X"),1,0)+IF(AND(INDIRECT("D"&amp;(T94+70))="X",INDIRECT("D"&amp;(U94+70))="X",INDIRECT("D"&amp;(V94+70))="X"),1,0)+IF(AND(INDIRECT("E"&amp;(T94+70))="X",INDIRECT("E"&amp;(U94+70))="X",INDIRECT("E"&amp;(V94+70))="X"),1,0)+IF(AND(INDIRECT("F"&amp;(T94+70))="X",INDIRECT("F"&amp;(U94+70))="X",INDIRECT("F"&amp;(V94+70))="X"),1,0)+IF(AND(INDIRECT("G"&amp;(T94+70))="X",INDIRECT("G"&amp;(U94+70))="X",INDIRECT("G"&amp;(V94+70))="X"),1,0)+IF(AND(INDIRECT("H"&amp;(T94+70))="X",INDIRECT("H"&amp;(U94+70))="X",INDIRECT("H"&amp;(V94+70))="X"),1,0)+IF(AND(INDIRECT("I"&amp;(T94+70))="X",INDIRECT("I"&amp;(U94+70))="X",INDIRECT("I"&amp;(V94+70))="X"),1,0)+IF(AND(INDIRECT("J"&amp;(T94+70))="X",INDIRECT("J"&amp;(U94+70))="X",INDIRECT("J"&amp;(V94+70))="X"),1,0)+IF(AND(INDIRECT("K"&amp;(T94+70))="X",INDIRECT("K"&amp;(U94+70))="X",INDIRECT("K"&amp;(V94+70))="X"),1,0)+IF(AND(INDIRECT("L"&amp;(T94+70))="X",INDIRECT("L"&amp;(U94+70))="X",INDIRECT("L"&amp;(V94+70))="X"),1,0)+IF(AND(INDIRECT("M"&amp;(T94+70))="X",INDIRECT("M"&amp;(U94+70))="X",INDIRECT("M"&amp;(V94+70))="X"),1,0)+IF(AND(INDIRECT("N"&amp;(T94+70))="X",INDIRECT("N"&amp;(U94+70))="X",INDIRECT("N"&amp;(V94+70))="X"),1,0)+IF(AND(INDIRECT("O"&amp;(T94+70))="X",INDIRECT("O"&amp;(U94+70))="X",INDIRECT("O"&amp;(V94+70))="X"),1,0)+IF(AND(INDIRECT("P"&amp;(T94+70))="X",INDIRECT("P"&amp;(U94+70))="X",INDIRECT("P"&amp;(V94+70))="X"),1,0)+IF(AND(INDIRECT("Q"&amp;(T94+70))="X",INDIRECT("Q"&amp;(U94+70))="X",INDIRECT("Q"&amp;(V94+70))="X"),1,0)</f>
        <v>2</v>
      </c>
    </row>
    <row r="95" spans="1:23" x14ac:dyDescent="0.3">
      <c r="T95">
        <v>1</v>
      </c>
      <c r="U95">
        <v>5</v>
      </c>
      <c r="V95">
        <v>13</v>
      </c>
      <c r="W95" cm="1">
        <f t="array" aca="1" ref="W95" ca="1">IF(AND(INDIRECT("B"&amp;(T95+70))="X",INDIRECT("B"&amp;(U95+70))="X",INDIRECT("B"&amp;(V95+70))="X"),1,0)+IF(AND(INDIRECT("C"&amp;(T95+70))="X",INDIRECT("C"&amp;(U95+70))="X",INDIRECT("C"&amp;(V95+70))="X"),1,0)+IF(AND(INDIRECT("D"&amp;(T95+70))="X",INDIRECT("D"&amp;(U95+70))="X",INDIRECT("D"&amp;(V95+70))="X"),1,0)+IF(AND(INDIRECT("E"&amp;(T95+70))="X",INDIRECT("E"&amp;(U95+70))="X",INDIRECT("E"&amp;(V95+70))="X"),1,0)+IF(AND(INDIRECT("F"&amp;(T95+70))="X",INDIRECT("F"&amp;(U95+70))="X",INDIRECT("F"&amp;(V95+70))="X"),1,0)+IF(AND(INDIRECT("G"&amp;(T95+70))="X",INDIRECT("G"&amp;(U95+70))="X",INDIRECT("G"&amp;(V95+70))="X"),1,0)+IF(AND(INDIRECT("H"&amp;(T95+70))="X",INDIRECT("H"&amp;(U95+70))="X",INDIRECT("H"&amp;(V95+70))="X"),1,0)+IF(AND(INDIRECT("I"&amp;(T95+70))="X",INDIRECT("I"&amp;(U95+70))="X",INDIRECT("I"&amp;(V95+70))="X"),1,0)+IF(AND(INDIRECT("J"&amp;(T95+70))="X",INDIRECT("J"&amp;(U95+70))="X",INDIRECT("J"&amp;(V95+70))="X"),1,0)+IF(AND(INDIRECT("K"&amp;(T95+70))="X",INDIRECT("K"&amp;(U95+70))="X",INDIRECT("K"&amp;(V95+70))="X"),1,0)+IF(AND(INDIRECT("L"&amp;(T95+70))="X",INDIRECT("L"&amp;(U95+70))="X",INDIRECT("L"&amp;(V95+70))="X"),1,0)+IF(AND(INDIRECT("M"&amp;(T95+70))="X",INDIRECT("M"&amp;(U95+70))="X",INDIRECT("M"&amp;(V95+70))="X"),1,0)+IF(AND(INDIRECT("N"&amp;(T95+70))="X",INDIRECT("N"&amp;(U95+70))="X",INDIRECT("N"&amp;(V95+70))="X"),1,0)+IF(AND(INDIRECT("O"&amp;(T95+70))="X",INDIRECT("O"&amp;(U95+70))="X",INDIRECT("O"&amp;(V95+70))="X"),1,0)+IF(AND(INDIRECT("P"&amp;(T95+70))="X",INDIRECT("P"&amp;(U95+70))="X",INDIRECT("P"&amp;(V95+70))="X"),1,0)+IF(AND(INDIRECT("Q"&amp;(T95+70))="X",INDIRECT("Q"&amp;(U95+70))="X",INDIRECT("Q"&amp;(V95+70))="X"),1,0)</f>
        <v>3</v>
      </c>
    </row>
    <row r="96" spans="1:23" x14ac:dyDescent="0.3">
      <c r="T96">
        <v>1</v>
      </c>
      <c r="U96">
        <v>5</v>
      </c>
      <c r="V96">
        <v>14</v>
      </c>
      <c r="W96" cm="1">
        <f t="array" aca="1" ref="W96" ca="1">IF(AND(INDIRECT("B"&amp;(T96+70))="X",INDIRECT("B"&amp;(U96+70))="X",INDIRECT("B"&amp;(V96+70))="X"),1,0)+IF(AND(INDIRECT("C"&amp;(T96+70))="X",INDIRECT("C"&amp;(U96+70))="X",INDIRECT("C"&amp;(V96+70))="X"),1,0)+IF(AND(INDIRECT("D"&amp;(T96+70))="X",INDIRECT("D"&amp;(U96+70))="X",INDIRECT("D"&amp;(V96+70))="X"),1,0)+IF(AND(INDIRECT("E"&amp;(T96+70))="X",INDIRECT("E"&amp;(U96+70))="X",INDIRECT("E"&amp;(V96+70))="X"),1,0)+IF(AND(INDIRECT("F"&amp;(T96+70))="X",INDIRECT("F"&amp;(U96+70))="X",INDIRECT("F"&amp;(V96+70))="X"),1,0)+IF(AND(INDIRECT("G"&amp;(T96+70))="X",INDIRECT("G"&amp;(U96+70))="X",INDIRECT("G"&amp;(V96+70))="X"),1,0)+IF(AND(INDIRECT("H"&amp;(T96+70))="X",INDIRECT("H"&amp;(U96+70))="X",INDIRECT("H"&amp;(V96+70))="X"),1,0)+IF(AND(INDIRECT("I"&amp;(T96+70))="X",INDIRECT("I"&amp;(U96+70))="X",INDIRECT("I"&amp;(V96+70))="X"),1,0)+IF(AND(INDIRECT("J"&amp;(T96+70))="X",INDIRECT("J"&amp;(U96+70))="X",INDIRECT("J"&amp;(V96+70))="X"),1,0)+IF(AND(INDIRECT("K"&amp;(T96+70))="X",INDIRECT("K"&amp;(U96+70))="X",INDIRECT("K"&amp;(V96+70))="X"),1,0)+IF(AND(INDIRECT("L"&amp;(T96+70))="X",INDIRECT("L"&amp;(U96+70))="X",INDIRECT("L"&amp;(V96+70))="X"),1,0)+IF(AND(INDIRECT("M"&amp;(T96+70))="X",INDIRECT("M"&amp;(U96+70))="X",INDIRECT("M"&amp;(V96+70))="X"),1,0)+IF(AND(INDIRECT("N"&amp;(T96+70))="X",INDIRECT("N"&amp;(U96+70))="X",INDIRECT("N"&amp;(V96+70))="X"),1,0)+IF(AND(INDIRECT("O"&amp;(T96+70))="X",INDIRECT("O"&amp;(U96+70))="X",INDIRECT("O"&amp;(V96+70))="X"),1,0)+IF(AND(INDIRECT("P"&amp;(T96+70))="X",INDIRECT("P"&amp;(U96+70))="X",INDIRECT("P"&amp;(V96+70))="X"),1,0)+IF(AND(INDIRECT("Q"&amp;(T96+70))="X",INDIRECT("Q"&amp;(U96+70))="X",INDIRECT("Q"&amp;(V96+70))="X"),1,0)</f>
        <v>1</v>
      </c>
    </row>
    <row r="97" spans="20:23" x14ac:dyDescent="0.3">
      <c r="T97">
        <v>1</v>
      </c>
      <c r="U97">
        <v>6</v>
      </c>
      <c r="V97">
        <v>7</v>
      </c>
      <c r="W97" cm="1">
        <f t="array" aca="1" ref="W97" ca="1">IF(AND(INDIRECT("B"&amp;(T97+70))="X",INDIRECT("B"&amp;(U97+70))="X",INDIRECT("B"&amp;(V97+70))="X"),1,0)+IF(AND(INDIRECT("C"&amp;(T97+70))="X",INDIRECT("C"&amp;(U97+70))="X",INDIRECT("C"&amp;(V97+70))="X"),1,0)+IF(AND(INDIRECT("D"&amp;(T97+70))="X",INDIRECT("D"&amp;(U97+70))="X",INDIRECT("D"&amp;(V97+70))="X"),1,0)+IF(AND(INDIRECT("E"&amp;(T97+70))="X",INDIRECT("E"&amp;(U97+70))="X",INDIRECT("E"&amp;(V97+70))="X"),1,0)+IF(AND(INDIRECT("F"&amp;(T97+70))="X",INDIRECT("F"&amp;(U97+70))="X",INDIRECT("F"&amp;(V97+70))="X"),1,0)+IF(AND(INDIRECT("G"&amp;(T97+70))="X",INDIRECT("G"&amp;(U97+70))="X",INDIRECT("G"&amp;(V97+70))="X"),1,0)+IF(AND(INDIRECT("H"&amp;(T97+70))="X",INDIRECT("H"&amp;(U97+70))="X",INDIRECT("H"&amp;(V97+70))="X"),1,0)+IF(AND(INDIRECT("I"&amp;(T97+70))="X",INDIRECT("I"&amp;(U97+70))="X",INDIRECT("I"&amp;(V97+70))="X"),1,0)+IF(AND(INDIRECT("J"&amp;(T97+70))="X",INDIRECT("J"&amp;(U97+70))="X",INDIRECT("J"&amp;(V97+70))="X"),1,0)+IF(AND(INDIRECT("K"&amp;(T97+70))="X",INDIRECT("K"&amp;(U97+70))="X",INDIRECT("K"&amp;(V97+70))="X"),1,0)+IF(AND(INDIRECT("L"&amp;(T97+70))="X",INDIRECT("L"&amp;(U97+70))="X",INDIRECT("L"&amp;(V97+70))="X"),1,0)+IF(AND(INDIRECT("M"&amp;(T97+70))="X",INDIRECT("M"&amp;(U97+70))="X",INDIRECT("M"&amp;(V97+70))="X"),1,0)+IF(AND(INDIRECT("N"&amp;(T97+70))="X",INDIRECT("N"&amp;(U97+70))="X",INDIRECT("N"&amp;(V97+70))="X"),1,0)+IF(AND(INDIRECT("O"&amp;(T97+70))="X",INDIRECT("O"&amp;(U97+70))="X",INDIRECT("O"&amp;(V97+70))="X"),1,0)+IF(AND(INDIRECT("P"&amp;(T97+70))="X",INDIRECT("P"&amp;(U97+70))="X",INDIRECT("P"&amp;(V97+70))="X"),1,0)+IF(AND(INDIRECT("Q"&amp;(T97+70))="X",INDIRECT("Q"&amp;(U97+70))="X",INDIRECT("Q"&amp;(V97+70))="X"),1,0)</f>
        <v>0</v>
      </c>
    </row>
    <row r="98" spans="20:23" x14ac:dyDescent="0.3">
      <c r="T98">
        <v>1</v>
      </c>
      <c r="U98">
        <v>6</v>
      </c>
      <c r="V98">
        <v>8</v>
      </c>
      <c r="W98" cm="1">
        <f t="array" aca="1" ref="W98" ca="1">IF(AND(INDIRECT("B"&amp;(T98+70))="X",INDIRECT("B"&amp;(U98+70))="X",INDIRECT("B"&amp;(V98+70))="X"),1,0)+IF(AND(INDIRECT("C"&amp;(T98+70))="X",INDIRECT("C"&amp;(U98+70))="X",INDIRECT("C"&amp;(V98+70))="X"),1,0)+IF(AND(INDIRECT("D"&amp;(T98+70))="X",INDIRECT("D"&amp;(U98+70))="X",INDIRECT("D"&amp;(V98+70))="X"),1,0)+IF(AND(INDIRECT("E"&amp;(T98+70))="X",INDIRECT("E"&amp;(U98+70))="X",INDIRECT("E"&amp;(V98+70))="X"),1,0)+IF(AND(INDIRECT("F"&amp;(T98+70))="X",INDIRECT("F"&amp;(U98+70))="X",INDIRECT("F"&amp;(V98+70))="X"),1,0)+IF(AND(INDIRECT("G"&amp;(T98+70))="X",INDIRECT("G"&amp;(U98+70))="X",INDIRECT("G"&amp;(V98+70))="X"),1,0)+IF(AND(INDIRECT("H"&amp;(T98+70))="X",INDIRECT("H"&amp;(U98+70))="X",INDIRECT("H"&amp;(V98+70))="X"),1,0)+IF(AND(INDIRECT("I"&amp;(T98+70))="X",INDIRECT("I"&amp;(U98+70))="X",INDIRECT("I"&amp;(V98+70))="X"),1,0)+IF(AND(INDIRECT("J"&amp;(T98+70))="X",INDIRECT("J"&amp;(U98+70))="X",INDIRECT("J"&amp;(V98+70))="X"),1,0)+IF(AND(INDIRECT("K"&amp;(T98+70))="X",INDIRECT("K"&amp;(U98+70))="X",INDIRECT("K"&amp;(V98+70))="X"),1,0)+IF(AND(INDIRECT("L"&amp;(T98+70))="X",INDIRECT("L"&amp;(U98+70))="X",INDIRECT("L"&amp;(V98+70))="X"),1,0)+IF(AND(INDIRECT("M"&amp;(T98+70))="X",INDIRECT("M"&amp;(U98+70))="X",INDIRECT("M"&amp;(V98+70))="X"),1,0)+IF(AND(INDIRECT("N"&amp;(T98+70))="X",INDIRECT("N"&amp;(U98+70))="X",INDIRECT("N"&amp;(V98+70))="X"),1,0)+IF(AND(INDIRECT("O"&amp;(T98+70))="X",INDIRECT("O"&amp;(U98+70))="X",INDIRECT("O"&amp;(V98+70))="X"),1,0)+IF(AND(INDIRECT("P"&amp;(T98+70))="X",INDIRECT("P"&amp;(U98+70))="X",INDIRECT("P"&amp;(V98+70))="X"),1,0)+IF(AND(INDIRECT("Q"&amp;(T98+70))="X",INDIRECT("Q"&amp;(U98+70))="X",INDIRECT("Q"&amp;(V98+70))="X"),1,0)</f>
        <v>2</v>
      </c>
    </row>
    <row r="99" spans="20:23" x14ac:dyDescent="0.3">
      <c r="T99">
        <v>1</v>
      </c>
      <c r="U99">
        <v>6</v>
      </c>
      <c r="V99">
        <v>9</v>
      </c>
      <c r="W99" cm="1">
        <f t="array" aca="1" ref="W99" ca="1">IF(AND(INDIRECT("B"&amp;(T99+70))="X",INDIRECT("B"&amp;(U99+70))="X",INDIRECT("B"&amp;(V99+70))="X"),1,0)+IF(AND(INDIRECT("C"&amp;(T99+70))="X",INDIRECT("C"&amp;(U99+70))="X",INDIRECT("C"&amp;(V99+70))="X"),1,0)+IF(AND(INDIRECT("D"&amp;(T99+70))="X",INDIRECT("D"&amp;(U99+70))="X",INDIRECT("D"&amp;(V99+70))="X"),1,0)+IF(AND(INDIRECT("E"&amp;(T99+70))="X",INDIRECT("E"&amp;(U99+70))="X",INDIRECT("E"&amp;(V99+70))="X"),1,0)+IF(AND(INDIRECT("F"&amp;(T99+70))="X",INDIRECT("F"&amp;(U99+70))="X",INDIRECT("F"&amp;(V99+70))="X"),1,0)+IF(AND(INDIRECT("G"&amp;(T99+70))="X",INDIRECT("G"&amp;(U99+70))="X",INDIRECT("G"&amp;(V99+70))="X"),1,0)+IF(AND(INDIRECT("H"&amp;(T99+70))="X",INDIRECT("H"&amp;(U99+70))="X",INDIRECT("H"&amp;(V99+70))="X"),1,0)+IF(AND(INDIRECT("I"&amp;(T99+70))="X",INDIRECT("I"&amp;(U99+70))="X",INDIRECT("I"&amp;(V99+70))="X"),1,0)+IF(AND(INDIRECT("J"&amp;(T99+70))="X",INDIRECT("J"&amp;(U99+70))="X",INDIRECT("J"&amp;(V99+70))="X"),1,0)+IF(AND(INDIRECT("K"&amp;(T99+70))="X",INDIRECT("K"&amp;(U99+70))="X",INDIRECT("K"&amp;(V99+70))="X"),1,0)+IF(AND(INDIRECT("L"&amp;(T99+70))="X",INDIRECT("L"&amp;(U99+70))="X",INDIRECT("L"&amp;(V99+70))="X"),1,0)+IF(AND(INDIRECT("M"&amp;(T99+70))="X",INDIRECT("M"&amp;(U99+70))="X",INDIRECT("M"&amp;(V99+70))="X"),1,0)+IF(AND(INDIRECT("N"&amp;(T99+70))="X",INDIRECT("N"&amp;(U99+70))="X",INDIRECT("N"&amp;(V99+70))="X"),1,0)+IF(AND(INDIRECT("O"&amp;(T99+70))="X",INDIRECT("O"&amp;(U99+70))="X",INDIRECT("O"&amp;(V99+70))="X"),1,0)+IF(AND(INDIRECT("P"&amp;(T99+70))="X",INDIRECT("P"&amp;(U99+70))="X",INDIRECT("P"&amp;(V99+70))="X"),1,0)+IF(AND(INDIRECT("Q"&amp;(T99+70))="X",INDIRECT("Q"&amp;(U99+70))="X",INDIRECT("Q"&amp;(V99+70))="X"),1,0)</f>
        <v>1</v>
      </c>
    </row>
    <row r="100" spans="20:23" x14ac:dyDescent="0.3">
      <c r="T100">
        <v>1</v>
      </c>
      <c r="U100">
        <v>6</v>
      </c>
      <c r="V100">
        <v>10</v>
      </c>
      <c r="W100" cm="1">
        <f t="array" aca="1" ref="W100" ca="1">IF(AND(INDIRECT("B"&amp;(T100+70))="X",INDIRECT("B"&amp;(U100+70))="X",INDIRECT("B"&amp;(V100+70))="X"),1,0)+IF(AND(INDIRECT("C"&amp;(T100+70))="X",INDIRECT("C"&amp;(U100+70))="X",INDIRECT("C"&amp;(V100+70))="X"),1,0)+IF(AND(INDIRECT("D"&amp;(T100+70))="X",INDIRECT("D"&amp;(U100+70))="X",INDIRECT("D"&amp;(V100+70))="X"),1,0)+IF(AND(INDIRECT("E"&amp;(T100+70))="X",INDIRECT("E"&amp;(U100+70))="X",INDIRECT("E"&amp;(V100+70))="X"),1,0)+IF(AND(INDIRECT("F"&amp;(T100+70))="X",INDIRECT("F"&amp;(U100+70))="X",INDIRECT("F"&amp;(V100+70))="X"),1,0)+IF(AND(INDIRECT("G"&amp;(T100+70))="X",INDIRECT("G"&amp;(U100+70))="X",INDIRECT("G"&amp;(V100+70))="X"),1,0)+IF(AND(INDIRECT("H"&amp;(T100+70))="X",INDIRECT("H"&amp;(U100+70))="X",INDIRECT("H"&amp;(V100+70))="X"),1,0)+IF(AND(INDIRECT("I"&amp;(T100+70))="X",INDIRECT("I"&amp;(U100+70))="X",INDIRECT("I"&amp;(V100+70))="X"),1,0)+IF(AND(INDIRECT("J"&amp;(T100+70))="X",INDIRECT("J"&amp;(U100+70))="X",INDIRECT("J"&amp;(V100+70))="X"),1,0)+IF(AND(INDIRECT("K"&amp;(T100+70))="X",INDIRECT("K"&amp;(U100+70))="X",INDIRECT("K"&amp;(V100+70))="X"),1,0)+IF(AND(INDIRECT("L"&amp;(T100+70))="X",INDIRECT("L"&amp;(U100+70))="X",INDIRECT("L"&amp;(V100+70))="X"),1,0)+IF(AND(INDIRECT("M"&amp;(T100+70))="X",INDIRECT("M"&amp;(U100+70))="X",INDIRECT("M"&amp;(V100+70))="X"),1,0)+IF(AND(INDIRECT("N"&amp;(T100+70))="X",INDIRECT("N"&amp;(U100+70))="X",INDIRECT("N"&amp;(V100+70))="X"),1,0)+IF(AND(INDIRECT("O"&amp;(T100+70))="X",INDIRECT("O"&amp;(U100+70))="X",INDIRECT("O"&amp;(V100+70))="X"),1,0)+IF(AND(INDIRECT("P"&amp;(T100+70))="X",INDIRECT("P"&amp;(U100+70))="X",INDIRECT("P"&amp;(V100+70))="X"),1,0)+IF(AND(INDIRECT("Q"&amp;(T100+70))="X",INDIRECT("Q"&amp;(U100+70))="X",INDIRECT("Q"&amp;(V100+70))="X"),1,0)</f>
        <v>2</v>
      </c>
    </row>
    <row r="101" spans="20:23" x14ac:dyDescent="0.3">
      <c r="T101">
        <v>1</v>
      </c>
      <c r="U101">
        <v>6</v>
      </c>
      <c r="V101">
        <v>11</v>
      </c>
      <c r="W101" cm="1">
        <f t="array" aca="1" ref="W101" ca="1">IF(AND(INDIRECT("B"&amp;(T101+70))="X",INDIRECT("B"&amp;(U101+70))="X",INDIRECT("B"&amp;(V101+70))="X"),1,0)+IF(AND(INDIRECT("C"&amp;(T101+70))="X",INDIRECT("C"&amp;(U101+70))="X",INDIRECT("C"&amp;(V101+70))="X"),1,0)+IF(AND(INDIRECT("D"&amp;(T101+70))="X",INDIRECT("D"&amp;(U101+70))="X",INDIRECT("D"&amp;(V101+70))="X"),1,0)+IF(AND(INDIRECT("E"&amp;(T101+70))="X",INDIRECT("E"&amp;(U101+70))="X",INDIRECT("E"&amp;(V101+70))="X"),1,0)+IF(AND(INDIRECT("F"&amp;(T101+70))="X",INDIRECT("F"&amp;(U101+70))="X",INDIRECT("F"&amp;(V101+70))="X"),1,0)+IF(AND(INDIRECT("G"&amp;(T101+70))="X",INDIRECT("G"&amp;(U101+70))="X",INDIRECT("G"&amp;(V101+70))="X"),1,0)+IF(AND(INDIRECT("H"&amp;(T101+70))="X",INDIRECT("H"&amp;(U101+70))="X",INDIRECT("H"&amp;(V101+70))="X"),1,0)+IF(AND(INDIRECT("I"&amp;(T101+70))="X",INDIRECT("I"&amp;(U101+70))="X",INDIRECT("I"&amp;(V101+70))="X"),1,0)+IF(AND(INDIRECT("J"&amp;(T101+70))="X",INDIRECT("J"&amp;(U101+70))="X",INDIRECT("J"&amp;(V101+70))="X"),1,0)+IF(AND(INDIRECT("K"&amp;(T101+70))="X",INDIRECT("K"&amp;(U101+70))="X",INDIRECT("K"&amp;(V101+70))="X"),1,0)+IF(AND(INDIRECT("L"&amp;(T101+70))="X",INDIRECT("L"&amp;(U101+70))="X",INDIRECT("L"&amp;(V101+70))="X"),1,0)+IF(AND(INDIRECT("M"&amp;(T101+70))="X",INDIRECT("M"&amp;(U101+70))="X",INDIRECT("M"&amp;(V101+70))="X"),1,0)+IF(AND(INDIRECT("N"&amp;(T101+70))="X",INDIRECT("N"&amp;(U101+70))="X",INDIRECT("N"&amp;(V101+70))="X"),1,0)+IF(AND(INDIRECT("O"&amp;(T101+70))="X",INDIRECT("O"&amp;(U101+70))="X",INDIRECT("O"&amp;(V101+70))="X"),1,0)+IF(AND(INDIRECT("P"&amp;(T101+70))="X",INDIRECT("P"&amp;(U101+70))="X",INDIRECT("P"&amp;(V101+70))="X"),1,0)+IF(AND(INDIRECT("Q"&amp;(T101+70))="X",INDIRECT("Q"&amp;(U101+70))="X",INDIRECT("Q"&amp;(V101+70))="X"),1,0)</f>
        <v>1</v>
      </c>
    </row>
    <row r="102" spans="20:23" x14ac:dyDescent="0.3">
      <c r="T102">
        <v>1</v>
      </c>
      <c r="U102">
        <v>6</v>
      </c>
      <c r="V102">
        <v>12</v>
      </c>
      <c r="W102" cm="1">
        <f t="array" aca="1" ref="W102" ca="1">IF(AND(INDIRECT("B"&amp;(T102+70))="X",INDIRECT("B"&amp;(U102+70))="X",INDIRECT("B"&amp;(V102+70))="X"),1,0)+IF(AND(INDIRECT("C"&amp;(T102+70))="X",INDIRECT("C"&amp;(U102+70))="X",INDIRECT("C"&amp;(V102+70))="X"),1,0)+IF(AND(INDIRECT("D"&amp;(T102+70))="X",INDIRECT("D"&amp;(U102+70))="X",INDIRECT("D"&amp;(V102+70))="X"),1,0)+IF(AND(INDIRECT("E"&amp;(T102+70))="X",INDIRECT("E"&amp;(U102+70))="X",INDIRECT("E"&amp;(V102+70))="X"),1,0)+IF(AND(INDIRECT("F"&amp;(T102+70))="X",INDIRECT("F"&amp;(U102+70))="X",INDIRECT("F"&amp;(V102+70))="X"),1,0)+IF(AND(INDIRECT("G"&amp;(T102+70))="X",INDIRECT("G"&amp;(U102+70))="X",INDIRECT("G"&amp;(V102+70))="X"),1,0)+IF(AND(INDIRECT("H"&amp;(T102+70))="X",INDIRECT("H"&amp;(U102+70))="X",INDIRECT("H"&amp;(V102+70))="X"),1,0)+IF(AND(INDIRECT("I"&amp;(T102+70))="X",INDIRECT("I"&amp;(U102+70))="X",INDIRECT("I"&amp;(V102+70))="X"),1,0)+IF(AND(INDIRECT("J"&amp;(T102+70))="X",INDIRECT("J"&amp;(U102+70))="X",INDIRECT("J"&amp;(V102+70))="X"),1,0)+IF(AND(INDIRECT("K"&amp;(T102+70))="X",INDIRECT("K"&amp;(U102+70))="X",INDIRECT("K"&amp;(V102+70))="X"),1,0)+IF(AND(INDIRECT("L"&amp;(T102+70))="X",INDIRECT("L"&amp;(U102+70))="X",INDIRECT("L"&amp;(V102+70))="X"),1,0)+IF(AND(INDIRECT("M"&amp;(T102+70))="X",INDIRECT("M"&amp;(U102+70))="X",INDIRECT("M"&amp;(V102+70))="X"),1,0)+IF(AND(INDIRECT("N"&amp;(T102+70))="X",INDIRECT("N"&amp;(U102+70))="X",INDIRECT("N"&amp;(V102+70))="X"),1,0)+IF(AND(INDIRECT("O"&amp;(T102+70))="X",INDIRECT("O"&amp;(U102+70))="X",INDIRECT("O"&amp;(V102+70))="X"),1,0)+IF(AND(INDIRECT("P"&amp;(T102+70))="X",INDIRECT("P"&amp;(U102+70))="X",INDIRECT("P"&amp;(V102+70))="X"),1,0)+IF(AND(INDIRECT("Q"&amp;(T102+70))="X",INDIRECT("Q"&amp;(U102+70))="X",INDIRECT("Q"&amp;(V102+70))="X"),1,0)</f>
        <v>1</v>
      </c>
    </row>
    <row r="103" spans="20:23" x14ac:dyDescent="0.3">
      <c r="T103">
        <v>1</v>
      </c>
      <c r="U103">
        <v>6</v>
      </c>
      <c r="V103">
        <v>13</v>
      </c>
      <c r="W103" cm="1">
        <f t="array" aca="1" ref="W103" ca="1">IF(AND(INDIRECT("B"&amp;(T103+70))="X",INDIRECT("B"&amp;(U103+70))="X",INDIRECT("B"&amp;(V103+70))="X"),1,0)+IF(AND(INDIRECT("C"&amp;(T103+70))="X",INDIRECT("C"&amp;(U103+70))="X",INDIRECT("C"&amp;(V103+70))="X"),1,0)+IF(AND(INDIRECT("D"&amp;(T103+70))="X",INDIRECT("D"&amp;(U103+70))="X",INDIRECT("D"&amp;(V103+70))="X"),1,0)+IF(AND(INDIRECT("E"&amp;(T103+70))="X",INDIRECT("E"&amp;(U103+70))="X",INDIRECT("E"&amp;(V103+70))="X"),1,0)+IF(AND(INDIRECT("F"&amp;(T103+70))="X",INDIRECT("F"&amp;(U103+70))="X",INDIRECT("F"&amp;(V103+70))="X"),1,0)+IF(AND(INDIRECT("G"&amp;(T103+70))="X",INDIRECT("G"&amp;(U103+70))="X",INDIRECT("G"&amp;(V103+70))="X"),1,0)+IF(AND(INDIRECT("H"&amp;(T103+70))="X",INDIRECT("H"&amp;(U103+70))="X",INDIRECT("H"&amp;(V103+70))="X"),1,0)+IF(AND(INDIRECT("I"&amp;(T103+70))="X",INDIRECT("I"&amp;(U103+70))="X",INDIRECT("I"&amp;(V103+70))="X"),1,0)+IF(AND(INDIRECT("J"&amp;(T103+70))="X",INDIRECT("J"&amp;(U103+70))="X",INDIRECT("J"&amp;(V103+70))="X"),1,0)+IF(AND(INDIRECT("K"&amp;(T103+70))="X",INDIRECT("K"&amp;(U103+70))="X",INDIRECT("K"&amp;(V103+70))="X"),1,0)+IF(AND(INDIRECT("L"&amp;(T103+70))="X",INDIRECT("L"&amp;(U103+70))="X",INDIRECT("L"&amp;(V103+70))="X"),1,0)+IF(AND(INDIRECT("M"&amp;(T103+70))="X",INDIRECT("M"&amp;(U103+70))="X",INDIRECT("M"&amp;(V103+70))="X"),1,0)+IF(AND(INDIRECT("N"&amp;(T103+70))="X",INDIRECT("N"&amp;(U103+70))="X",INDIRECT("N"&amp;(V103+70))="X"),1,0)+IF(AND(INDIRECT("O"&amp;(T103+70))="X",INDIRECT("O"&amp;(U103+70))="X",INDIRECT("O"&amp;(V103+70))="X"),1,0)+IF(AND(INDIRECT("P"&amp;(T103+70))="X",INDIRECT("P"&amp;(U103+70))="X",INDIRECT("P"&amp;(V103+70))="X"),1,0)+IF(AND(INDIRECT("Q"&amp;(T103+70))="X",INDIRECT("Q"&amp;(U103+70))="X",INDIRECT("Q"&amp;(V103+70))="X"),1,0)</f>
        <v>2</v>
      </c>
    </row>
    <row r="104" spans="20:23" x14ac:dyDescent="0.3">
      <c r="T104">
        <v>1</v>
      </c>
      <c r="U104">
        <v>6</v>
      </c>
      <c r="V104">
        <v>14</v>
      </c>
      <c r="W104" cm="1">
        <f t="array" aca="1" ref="W104" ca="1">IF(AND(INDIRECT("B"&amp;(T104+70))="X",INDIRECT("B"&amp;(U104+70))="X",INDIRECT("B"&amp;(V104+70))="X"),1,0)+IF(AND(INDIRECT("C"&amp;(T104+70))="X",INDIRECT("C"&amp;(U104+70))="X",INDIRECT("C"&amp;(V104+70))="X"),1,0)+IF(AND(INDIRECT("D"&amp;(T104+70))="X",INDIRECT("D"&amp;(U104+70))="X",INDIRECT("D"&amp;(V104+70))="X"),1,0)+IF(AND(INDIRECT("E"&amp;(T104+70))="X",INDIRECT("E"&amp;(U104+70))="X",INDIRECT("E"&amp;(V104+70))="X"),1,0)+IF(AND(INDIRECT("F"&amp;(T104+70))="X",INDIRECT("F"&amp;(U104+70))="X",INDIRECT("F"&amp;(V104+70))="X"),1,0)+IF(AND(INDIRECT("G"&amp;(T104+70))="X",INDIRECT("G"&amp;(U104+70))="X",INDIRECT("G"&amp;(V104+70))="X"),1,0)+IF(AND(INDIRECT("H"&amp;(T104+70))="X",INDIRECT("H"&amp;(U104+70))="X",INDIRECT("H"&amp;(V104+70))="X"),1,0)+IF(AND(INDIRECT("I"&amp;(T104+70))="X",INDIRECT("I"&amp;(U104+70))="X",INDIRECT("I"&amp;(V104+70))="X"),1,0)+IF(AND(INDIRECT("J"&amp;(T104+70))="X",INDIRECT("J"&amp;(U104+70))="X",INDIRECT("J"&amp;(V104+70))="X"),1,0)+IF(AND(INDIRECT("K"&amp;(T104+70))="X",INDIRECT("K"&amp;(U104+70))="X",INDIRECT("K"&amp;(V104+70))="X"),1,0)+IF(AND(INDIRECT("L"&amp;(T104+70))="X",INDIRECT("L"&amp;(U104+70))="X",INDIRECT("L"&amp;(V104+70))="X"),1,0)+IF(AND(INDIRECT("M"&amp;(T104+70))="X",INDIRECT("M"&amp;(U104+70))="X",INDIRECT("M"&amp;(V104+70))="X"),1,0)+IF(AND(INDIRECT("N"&amp;(T104+70))="X",INDIRECT("N"&amp;(U104+70))="X",INDIRECT("N"&amp;(V104+70))="X"),1,0)+IF(AND(INDIRECT("O"&amp;(T104+70))="X",INDIRECT("O"&amp;(U104+70))="X",INDIRECT("O"&amp;(V104+70))="X"),1,0)+IF(AND(INDIRECT("P"&amp;(T104+70))="X",INDIRECT("P"&amp;(U104+70))="X",INDIRECT("P"&amp;(V104+70))="X"),1,0)+IF(AND(INDIRECT("Q"&amp;(T104+70))="X",INDIRECT("Q"&amp;(U104+70))="X",INDIRECT("Q"&amp;(V104+70))="X"),1,0)</f>
        <v>1</v>
      </c>
    </row>
    <row r="105" spans="20:23" x14ac:dyDescent="0.3">
      <c r="T105">
        <v>1</v>
      </c>
      <c r="U105">
        <v>7</v>
      </c>
      <c r="V105">
        <v>8</v>
      </c>
      <c r="W105" cm="1">
        <f t="array" aca="1" ref="W105" ca="1">IF(AND(INDIRECT("B"&amp;(T105+70))="X",INDIRECT("B"&amp;(U105+70))="X",INDIRECT("B"&amp;(V105+70))="X"),1,0)+IF(AND(INDIRECT("C"&amp;(T105+70))="X",INDIRECT("C"&amp;(U105+70))="X",INDIRECT("C"&amp;(V105+70))="X"),1,0)+IF(AND(INDIRECT("D"&amp;(T105+70))="X",INDIRECT("D"&amp;(U105+70))="X",INDIRECT("D"&amp;(V105+70))="X"),1,0)+IF(AND(INDIRECT("E"&amp;(T105+70))="X",INDIRECT("E"&amp;(U105+70))="X",INDIRECT("E"&amp;(V105+70))="X"),1,0)+IF(AND(INDIRECT("F"&amp;(T105+70))="X",INDIRECT("F"&amp;(U105+70))="X",INDIRECT("F"&amp;(V105+70))="X"),1,0)+IF(AND(INDIRECT("G"&amp;(T105+70))="X",INDIRECT("G"&amp;(U105+70))="X",INDIRECT("G"&amp;(V105+70))="X"),1,0)+IF(AND(INDIRECT("H"&amp;(T105+70))="X",INDIRECT("H"&amp;(U105+70))="X",INDIRECT("H"&amp;(V105+70))="X"),1,0)+IF(AND(INDIRECT("I"&amp;(T105+70))="X",INDIRECT("I"&amp;(U105+70))="X",INDIRECT("I"&amp;(V105+70))="X"),1,0)+IF(AND(INDIRECT("J"&amp;(T105+70))="X",INDIRECT("J"&amp;(U105+70))="X",INDIRECT("J"&amp;(V105+70))="X"),1,0)+IF(AND(INDIRECT("K"&amp;(T105+70))="X",INDIRECT("K"&amp;(U105+70))="X",INDIRECT("K"&amp;(V105+70))="X"),1,0)+IF(AND(INDIRECT("L"&amp;(T105+70))="X",INDIRECT("L"&amp;(U105+70))="X",INDIRECT("L"&amp;(V105+70))="X"),1,0)+IF(AND(INDIRECT("M"&amp;(T105+70))="X",INDIRECT("M"&amp;(U105+70))="X",INDIRECT("M"&amp;(V105+70))="X"),1,0)+IF(AND(INDIRECT("N"&amp;(T105+70))="X",INDIRECT("N"&amp;(U105+70))="X",INDIRECT("N"&amp;(V105+70))="X"),1,0)+IF(AND(INDIRECT("O"&amp;(T105+70))="X",INDIRECT("O"&amp;(U105+70))="X",INDIRECT("O"&amp;(V105+70))="X"),1,0)+IF(AND(INDIRECT("P"&amp;(T105+70))="X",INDIRECT("P"&amp;(U105+70))="X",INDIRECT("P"&amp;(V105+70))="X"),1,0)+IF(AND(INDIRECT("Q"&amp;(T105+70))="X",INDIRECT("Q"&amp;(U105+70))="X",INDIRECT("Q"&amp;(V105+70))="X"),1,0)</f>
        <v>2</v>
      </c>
    </row>
    <row r="106" spans="20:23" x14ac:dyDescent="0.3">
      <c r="T106">
        <v>1</v>
      </c>
      <c r="U106">
        <v>7</v>
      </c>
      <c r="V106">
        <v>9</v>
      </c>
      <c r="W106" cm="1">
        <f t="array" aca="1" ref="W106" ca="1">IF(AND(INDIRECT("B"&amp;(T106+70))="X",INDIRECT("B"&amp;(U106+70))="X",INDIRECT("B"&amp;(V106+70))="X"),1,0)+IF(AND(INDIRECT("C"&amp;(T106+70))="X",INDIRECT("C"&amp;(U106+70))="X",INDIRECT("C"&amp;(V106+70))="X"),1,0)+IF(AND(INDIRECT("D"&amp;(T106+70))="X",INDIRECT("D"&amp;(U106+70))="X",INDIRECT("D"&amp;(V106+70))="X"),1,0)+IF(AND(INDIRECT("E"&amp;(T106+70))="X",INDIRECT("E"&amp;(U106+70))="X",INDIRECT("E"&amp;(V106+70))="X"),1,0)+IF(AND(INDIRECT("F"&amp;(T106+70))="X",INDIRECT("F"&amp;(U106+70))="X",INDIRECT("F"&amp;(V106+70))="X"),1,0)+IF(AND(INDIRECT("G"&amp;(T106+70))="X",INDIRECT("G"&amp;(U106+70))="X",INDIRECT("G"&amp;(V106+70))="X"),1,0)+IF(AND(INDIRECT("H"&amp;(T106+70))="X",INDIRECT("H"&amp;(U106+70))="X",INDIRECT("H"&amp;(V106+70))="X"),1,0)+IF(AND(INDIRECT("I"&amp;(T106+70))="X",INDIRECT("I"&amp;(U106+70))="X",INDIRECT("I"&amp;(V106+70))="X"),1,0)+IF(AND(INDIRECT("J"&amp;(T106+70))="X",INDIRECT("J"&amp;(U106+70))="X",INDIRECT("J"&amp;(V106+70))="X"),1,0)+IF(AND(INDIRECT("K"&amp;(T106+70))="X",INDIRECT("K"&amp;(U106+70))="X",INDIRECT("K"&amp;(V106+70))="X"),1,0)+IF(AND(INDIRECT("L"&amp;(T106+70))="X",INDIRECT("L"&amp;(U106+70))="X",INDIRECT("L"&amp;(V106+70))="X"),1,0)+IF(AND(INDIRECT("M"&amp;(T106+70))="X",INDIRECT("M"&amp;(U106+70))="X",INDIRECT("M"&amp;(V106+70))="X"),1,0)+IF(AND(INDIRECT("N"&amp;(T106+70))="X",INDIRECT("N"&amp;(U106+70))="X",INDIRECT("N"&amp;(V106+70))="X"),1,0)+IF(AND(INDIRECT("O"&amp;(T106+70))="X",INDIRECT("O"&amp;(U106+70))="X",INDIRECT("O"&amp;(V106+70))="X"),1,0)+IF(AND(INDIRECT("P"&amp;(T106+70))="X",INDIRECT("P"&amp;(U106+70))="X",INDIRECT("P"&amp;(V106+70))="X"),1,0)+IF(AND(INDIRECT("Q"&amp;(T106+70))="X",INDIRECT("Q"&amp;(U106+70))="X",INDIRECT("Q"&amp;(V106+70))="X"),1,0)</f>
        <v>1</v>
      </c>
    </row>
    <row r="107" spans="20:23" x14ac:dyDescent="0.3">
      <c r="T107">
        <v>1</v>
      </c>
      <c r="U107">
        <v>7</v>
      </c>
      <c r="V107">
        <v>10</v>
      </c>
      <c r="W107" cm="1">
        <f t="array" aca="1" ref="W107" ca="1">IF(AND(INDIRECT("B"&amp;(T107+70))="X",INDIRECT("B"&amp;(U107+70))="X",INDIRECT("B"&amp;(V107+70))="X"),1,0)+IF(AND(INDIRECT("C"&amp;(T107+70))="X",INDIRECT("C"&amp;(U107+70))="X",INDIRECT("C"&amp;(V107+70))="X"),1,0)+IF(AND(INDIRECT("D"&amp;(T107+70))="X",INDIRECT("D"&amp;(U107+70))="X",INDIRECT("D"&amp;(V107+70))="X"),1,0)+IF(AND(INDIRECT("E"&amp;(T107+70))="X",INDIRECT("E"&amp;(U107+70))="X",INDIRECT("E"&amp;(V107+70))="X"),1,0)+IF(AND(INDIRECT("F"&amp;(T107+70))="X",INDIRECT("F"&amp;(U107+70))="X",INDIRECT("F"&amp;(V107+70))="X"),1,0)+IF(AND(INDIRECT("G"&amp;(T107+70))="X",INDIRECT("G"&amp;(U107+70))="X",INDIRECT("G"&amp;(V107+70))="X"),1,0)+IF(AND(INDIRECT("H"&amp;(T107+70))="X",INDIRECT("H"&amp;(U107+70))="X",INDIRECT("H"&amp;(V107+70))="X"),1,0)+IF(AND(INDIRECT("I"&amp;(T107+70))="X",INDIRECT("I"&amp;(U107+70))="X",INDIRECT("I"&amp;(V107+70))="X"),1,0)+IF(AND(INDIRECT("J"&amp;(T107+70))="X",INDIRECT("J"&amp;(U107+70))="X",INDIRECT("J"&amp;(V107+70))="X"),1,0)+IF(AND(INDIRECT("K"&amp;(T107+70))="X",INDIRECT("K"&amp;(U107+70))="X",INDIRECT("K"&amp;(V107+70))="X"),1,0)+IF(AND(INDIRECT("L"&amp;(T107+70))="X",INDIRECT("L"&amp;(U107+70))="X",INDIRECT("L"&amp;(V107+70))="X"),1,0)+IF(AND(INDIRECT("M"&amp;(T107+70))="X",INDIRECT("M"&amp;(U107+70))="X",INDIRECT("M"&amp;(V107+70))="X"),1,0)+IF(AND(INDIRECT("N"&amp;(T107+70))="X",INDIRECT("N"&amp;(U107+70))="X",INDIRECT("N"&amp;(V107+70))="X"),1,0)+IF(AND(INDIRECT("O"&amp;(T107+70))="X",INDIRECT("O"&amp;(U107+70))="X",INDIRECT("O"&amp;(V107+70))="X"),1,0)+IF(AND(INDIRECT("P"&amp;(T107+70))="X",INDIRECT("P"&amp;(U107+70))="X",INDIRECT("P"&amp;(V107+70))="X"),1,0)+IF(AND(INDIRECT("Q"&amp;(T107+70))="X",INDIRECT("Q"&amp;(U107+70))="X",INDIRECT("Q"&amp;(V107+70))="X"),1,0)</f>
        <v>0</v>
      </c>
    </row>
    <row r="108" spans="20:23" x14ac:dyDescent="0.3">
      <c r="T108">
        <v>1</v>
      </c>
      <c r="U108">
        <v>7</v>
      </c>
      <c r="V108">
        <v>11</v>
      </c>
      <c r="W108" cm="1">
        <f t="array" aca="1" ref="W108" ca="1">IF(AND(INDIRECT("B"&amp;(T108+70))="X",INDIRECT("B"&amp;(U108+70))="X",INDIRECT("B"&amp;(V108+70))="X"),1,0)+IF(AND(INDIRECT("C"&amp;(T108+70))="X",INDIRECT("C"&amp;(U108+70))="X",INDIRECT("C"&amp;(V108+70))="X"),1,0)+IF(AND(INDIRECT("D"&amp;(T108+70))="X",INDIRECT("D"&amp;(U108+70))="X",INDIRECT("D"&amp;(V108+70))="X"),1,0)+IF(AND(INDIRECT("E"&amp;(T108+70))="X",INDIRECT("E"&amp;(U108+70))="X",INDIRECT("E"&amp;(V108+70))="X"),1,0)+IF(AND(INDIRECT("F"&amp;(T108+70))="X",INDIRECT("F"&amp;(U108+70))="X",INDIRECT("F"&amp;(V108+70))="X"),1,0)+IF(AND(INDIRECT("G"&amp;(T108+70))="X",INDIRECT("G"&amp;(U108+70))="X",INDIRECT("G"&amp;(V108+70))="X"),1,0)+IF(AND(INDIRECT("H"&amp;(T108+70))="X",INDIRECT("H"&amp;(U108+70))="X",INDIRECT("H"&amp;(V108+70))="X"),1,0)+IF(AND(INDIRECT("I"&amp;(T108+70))="X",INDIRECT("I"&amp;(U108+70))="X",INDIRECT("I"&amp;(V108+70))="X"),1,0)+IF(AND(INDIRECT("J"&amp;(T108+70))="X",INDIRECT("J"&amp;(U108+70))="X",INDIRECT("J"&amp;(V108+70))="X"),1,0)+IF(AND(INDIRECT("K"&amp;(T108+70))="X",INDIRECT("K"&amp;(U108+70))="X",INDIRECT("K"&amp;(V108+70))="X"),1,0)+IF(AND(INDIRECT("L"&amp;(T108+70))="X",INDIRECT("L"&amp;(U108+70))="X",INDIRECT("L"&amp;(V108+70))="X"),1,0)+IF(AND(INDIRECT("M"&amp;(T108+70))="X",INDIRECT("M"&amp;(U108+70))="X",INDIRECT("M"&amp;(V108+70))="X"),1,0)+IF(AND(INDIRECT("N"&amp;(T108+70))="X",INDIRECT("N"&amp;(U108+70))="X",INDIRECT("N"&amp;(V108+70))="X"),1,0)+IF(AND(INDIRECT("O"&amp;(T108+70))="X",INDIRECT("O"&amp;(U108+70))="X",INDIRECT("O"&amp;(V108+70))="X"),1,0)+IF(AND(INDIRECT("P"&amp;(T108+70))="X",INDIRECT("P"&amp;(U108+70))="X",INDIRECT("P"&amp;(V108+70))="X"),1,0)+IF(AND(INDIRECT("Q"&amp;(T108+70))="X",INDIRECT("Q"&amp;(U108+70))="X",INDIRECT("Q"&amp;(V108+70))="X"),1,0)</f>
        <v>3</v>
      </c>
    </row>
    <row r="109" spans="20:23" x14ac:dyDescent="0.3">
      <c r="T109">
        <v>1</v>
      </c>
      <c r="U109">
        <v>7</v>
      </c>
      <c r="V109">
        <v>12</v>
      </c>
      <c r="W109" cm="1">
        <f t="array" aca="1" ref="W109" ca="1">IF(AND(INDIRECT("B"&amp;(T109+70))="X",INDIRECT("B"&amp;(U109+70))="X",INDIRECT("B"&amp;(V109+70))="X"),1,0)+IF(AND(INDIRECT("C"&amp;(T109+70))="X",INDIRECT("C"&amp;(U109+70))="X",INDIRECT("C"&amp;(V109+70))="X"),1,0)+IF(AND(INDIRECT("D"&amp;(T109+70))="X",INDIRECT("D"&amp;(U109+70))="X",INDIRECT("D"&amp;(V109+70))="X"),1,0)+IF(AND(INDIRECT("E"&amp;(T109+70))="X",INDIRECT("E"&amp;(U109+70))="X",INDIRECT("E"&amp;(V109+70))="X"),1,0)+IF(AND(INDIRECT("F"&amp;(T109+70))="X",INDIRECT("F"&amp;(U109+70))="X",INDIRECT("F"&amp;(V109+70))="X"),1,0)+IF(AND(INDIRECT("G"&amp;(T109+70))="X",INDIRECT("G"&amp;(U109+70))="X",INDIRECT("G"&amp;(V109+70))="X"),1,0)+IF(AND(INDIRECT("H"&amp;(T109+70))="X",INDIRECT("H"&amp;(U109+70))="X",INDIRECT("H"&amp;(V109+70))="X"),1,0)+IF(AND(INDIRECT("I"&amp;(T109+70))="X",INDIRECT("I"&amp;(U109+70))="X",INDIRECT("I"&amp;(V109+70))="X"),1,0)+IF(AND(INDIRECT("J"&amp;(T109+70))="X",INDIRECT("J"&amp;(U109+70))="X",INDIRECT("J"&amp;(V109+70))="X"),1,0)+IF(AND(INDIRECT("K"&amp;(T109+70))="X",INDIRECT("K"&amp;(U109+70))="X",INDIRECT("K"&amp;(V109+70))="X"),1,0)+IF(AND(INDIRECT("L"&amp;(T109+70))="X",INDIRECT("L"&amp;(U109+70))="X",INDIRECT("L"&amp;(V109+70))="X"),1,0)+IF(AND(INDIRECT("M"&amp;(T109+70))="X",INDIRECT("M"&amp;(U109+70))="X",INDIRECT("M"&amp;(V109+70))="X"),1,0)+IF(AND(INDIRECT("N"&amp;(T109+70))="X",INDIRECT("N"&amp;(U109+70))="X",INDIRECT("N"&amp;(V109+70))="X"),1,0)+IF(AND(INDIRECT("O"&amp;(T109+70))="X",INDIRECT("O"&amp;(U109+70))="X",INDIRECT("O"&amp;(V109+70))="X"),1,0)+IF(AND(INDIRECT("P"&amp;(T109+70))="X",INDIRECT("P"&amp;(U109+70))="X",INDIRECT("P"&amp;(V109+70))="X"),1,0)+IF(AND(INDIRECT("Q"&amp;(T109+70))="X",INDIRECT("Q"&amp;(U109+70))="X",INDIRECT("Q"&amp;(V109+70))="X"),1,0)</f>
        <v>3</v>
      </c>
    </row>
    <row r="110" spans="20:23" x14ac:dyDescent="0.3">
      <c r="T110">
        <v>1</v>
      </c>
      <c r="U110">
        <v>7</v>
      </c>
      <c r="V110">
        <v>13</v>
      </c>
      <c r="W110" cm="1">
        <f t="array" aca="1" ref="W110" ca="1">IF(AND(INDIRECT("B"&amp;(T110+70))="X",INDIRECT("B"&amp;(U110+70))="X",INDIRECT("B"&amp;(V110+70))="X"),1,0)+IF(AND(INDIRECT("C"&amp;(T110+70))="X",INDIRECT("C"&amp;(U110+70))="X",INDIRECT("C"&amp;(V110+70))="X"),1,0)+IF(AND(INDIRECT("D"&amp;(T110+70))="X",INDIRECT("D"&amp;(U110+70))="X",INDIRECT("D"&amp;(V110+70))="X"),1,0)+IF(AND(INDIRECT("E"&amp;(T110+70))="X",INDIRECT("E"&amp;(U110+70))="X",INDIRECT("E"&amp;(V110+70))="X"),1,0)+IF(AND(INDIRECT("F"&amp;(T110+70))="X",INDIRECT("F"&amp;(U110+70))="X",INDIRECT("F"&amp;(V110+70))="X"),1,0)+IF(AND(INDIRECT("G"&amp;(T110+70))="X",INDIRECT("G"&amp;(U110+70))="X",INDIRECT("G"&amp;(V110+70))="X"),1,0)+IF(AND(INDIRECT("H"&amp;(T110+70))="X",INDIRECT("H"&amp;(U110+70))="X",INDIRECT("H"&amp;(V110+70))="X"),1,0)+IF(AND(INDIRECT("I"&amp;(T110+70))="X",INDIRECT("I"&amp;(U110+70))="X",INDIRECT("I"&amp;(V110+70))="X"),1,0)+IF(AND(INDIRECT("J"&amp;(T110+70))="X",INDIRECT("J"&amp;(U110+70))="X",INDIRECT("J"&amp;(V110+70))="X"),1,0)+IF(AND(INDIRECT("K"&amp;(T110+70))="X",INDIRECT("K"&amp;(U110+70))="X",INDIRECT("K"&amp;(V110+70))="X"),1,0)+IF(AND(INDIRECT("L"&amp;(T110+70))="X",INDIRECT("L"&amp;(U110+70))="X",INDIRECT("L"&amp;(V110+70))="X"),1,0)+IF(AND(INDIRECT("M"&amp;(T110+70))="X",INDIRECT("M"&amp;(U110+70))="X",INDIRECT("M"&amp;(V110+70))="X"),1,0)+IF(AND(INDIRECT("N"&amp;(T110+70))="X",INDIRECT("N"&amp;(U110+70))="X",INDIRECT("N"&amp;(V110+70))="X"),1,0)+IF(AND(INDIRECT("O"&amp;(T110+70))="X",INDIRECT("O"&amp;(U110+70))="X",INDIRECT("O"&amp;(V110+70))="X"),1,0)+IF(AND(INDIRECT("P"&amp;(T110+70))="X",INDIRECT("P"&amp;(U110+70))="X",INDIRECT("P"&amp;(V110+70))="X"),1,0)+IF(AND(INDIRECT("Q"&amp;(T110+70))="X",INDIRECT("Q"&amp;(U110+70))="X",INDIRECT("Q"&amp;(V110+70))="X"),1,0)</f>
        <v>3</v>
      </c>
    </row>
    <row r="111" spans="20:23" x14ac:dyDescent="0.3">
      <c r="T111">
        <v>1</v>
      </c>
      <c r="U111">
        <v>7</v>
      </c>
      <c r="V111">
        <v>14</v>
      </c>
      <c r="W111" cm="1">
        <f t="array" aca="1" ref="W111" ca="1">IF(AND(INDIRECT("B"&amp;(T111+70))="X",INDIRECT("B"&amp;(U111+70))="X",INDIRECT("B"&amp;(V111+70))="X"),1,0)+IF(AND(INDIRECT("C"&amp;(T111+70))="X",INDIRECT("C"&amp;(U111+70))="X",INDIRECT("C"&amp;(V111+70))="X"),1,0)+IF(AND(INDIRECT("D"&amp;(T111+70))="X",INDIRECT("D"&amp;(U111+70))="X",INDIRECT("D"&amp;(V111+70))="X"),1,0)+IF(AND(INDIRECT("E"&amp;(T111+70))="X",INDIRECT("E"&amp;(U111+70))="X",INDIRECT("E"&amp;(V111+70))="X"),1,0)+IF(AND(INDIRECT("F"&amp;(T111+70))="X",INDIRECT("F"&amp;(U111+70))="X",INDIRECT("F"&amp;(V111+70))="X"),1,0)+IF(AND(INDIRECT("G"&amp;(T111+70))="X",INDIRECT("G"&amp;(U111+70))="X",INDIRECT("G"&amp;(V111+70))="X"),1,0)+IF(AND(INDIRECT("H"&amp;(T111+70))="X",INDIRECT("H"&amp;(U111+70))="X",INDIRECT("H"&amp;(V111+70))="X"),1,0)+IF(AND(INDIRECT("I"&amp;(T111+70))="X",INDIRECT("I"&amp;(U111+70))="X",INDIRECT("I"&amp;(V111+70))="X"),1,0)+IF(AND(INDIRECT("J"&amp;(T111+70))="X",INDIRECT("J"&amp;(U111+70))="X",INDIRECT("J"&amp;(V111+70))="X"),1,0)+IF(AND(INDIRECT("K"&amp;(T111+70))="X",INDIRECT("K"&amp;(U111+70))="X",INDIRECT("K"&amp;(V111+70))="X"),1,0)+IF(AND(INDIRECT("L"&amp;(T111+70))="X",INDIRECT("L"&amp;(U111+70))="X",INDIRECT("L"&amp;(V111+70))="X"),1,0)+IF(AND(INDIRECT("M"&amp;(T111+70))="X",INDIRECT("M"&amp;(U111+70))="X",INDIRECT("M"&amp;(V111+70))="X"),1,0)+IF(AND(INDIRECT("N"&amp;(T111+70))="X",INDIRECT("N"&amp;(U111+70))="X",INDIRECT("N"&amp;(V111+70))="X"),1,0)+IF(AND(INDIRECT("O"&amp;(T111+70))="X",INDIRECT("O"&amp;(U111+70))="X",INDIRECT("O"&amp;(V111+70))="X"),1,0)+IF(AND(INDIRECT("P"&amp;(T111+70))="X",INDIRECT("P"&amp;(U111+70))="X",INDIRECT("P"&amp;(V111+70))="X"),1,0)+IF(AND(INDIRECT("Q"&amp;(T111+70))="X",INDIRECT("Q"&amp;(U111+70))="X",INDIRECT("Q"&amp;(V111+70))="X"),1,0)</f>
        <v>0</v>
      </c>
    </row>
    <row r="112" spans="20:23" x14ac:dyDescent="0.3">
      <c r="T112">
        <v>1</v>
      </c>
      <c r="U112">
        <v>8</v>
      </c>
      <c r="V112">
        <v>9</v>
      </c>
      <c r="W112" cm="1">
        <f t="array" aca="1" ref="W112" ca="1">IF(AND(INDIRECT("B"&amp;(T112+70))="X",INDIRECT("B"&amp;(U112+70))="X",INDIRECT("B"&amp;(V112+70))="X"),1,0)+IF(AND(INDIRECT("C"&amp;(T112+70))="X",INDIRECT("C"&amp;(U112+70))="X",INDIRECT("C"&amp;(V112+70))="X"),1,0)+IF(AND(INDIRECT("D"&amp;(T112+70))="X",INDIRECT("D"&amp;(U112+70))="X",INDIRECT("D"&amp;(V112+70))="X"),1,0)+IF(AND(INDIRECT("E"&amp;(T112+70))="X",INDIRECT("E"&amp;(U112+70))="X",INDIRECT("E"&amp;(V112+70))="X"),1,0)+IF(AND(INDIRECT("F"&amp;(T112+70))="X",INDIRECT("F"&amp;(U112+70))="X",INDIRECT("F"&amp;(V112+70))="X"),1,0)+IF(AND(INDIRECT("G"&amp;(T112+70))="X",INDIRECT("G"&amp;(U112+70))="X",INDIRECT("G"&amp;(V112+70))="X"),1,0)+IF(AND(INDIRECT("H"&amp;(T112+70))="X",INDIRECT("H"&amp;(U112+70))="X",INDIRECT("H"&amp;(V112+70))="X"),1,0)+IF(AND(INDIRECT("I"&amp;(T112+70))="X",INDIRECT("I"&amp;(U112+70))="X",INDIRECT("I"&amp;(V112+70))="X"),1,0)+IF(AND(INDIRECT("J"&amp;(T112+70))="X",INDIRECT("J"&amp;(U112+70))="X",INDIRECT("J"&amp;(V112+70))="X"),1,0)+IF(AND(INDIRECT("K"&amp;(T112+70))="X",INDIRECT("K"&amp;(U112+70))="X",INDIRECT("K"&amp;(V112+70))="X"),1,0)+IF(AND(INDIRECT("L"&amp;(T112+70))="X",INDIRECT("L"&amp;(U112+70))="X",INDIRECT("L"&amp;(V112+70))="X"),1,0)+IF(AND(INDIRECT("M"&amp;(T112+70))="X",INDIRECT("M"&amp;(U112+70))="X",INDIRECT("M"&amp;(V112+70))="X"),1,0)+IF(AND(INDIRECT("N"&amp;(T112+70))="X",INDIRECT("N"&amp;(U112+70))="X",INDIRECT("N"&amp;(V112+70))="X"),1,0)+IF(AND(INDIRECT("O"&amp;(T112+70))="X",INDIRECT("O"&amp;(U112+70))="X",INDIRECT("O"&amp;(V112+70))="X"),1,0)+IF(AND(INDIRECT("P"&amp;(T112+70))="X",INDIRECT("P"&amp;(U112+70))="X",INDIRECT("P"&amp;(V112+70))="X"),1,0)+IF(AND(INDIRECT("Q"&amp;(T112+70))="X",INDIRECT("Q"&amp;(U112+70))="X",INDIRECT("Q"&amp;(V112+70))="X"),1,0)</f>
        <v>0</v>
      </c>
    </row>
    <row r="113" spans="20:23" x14ac:dyDescent="0.3">
      <c r="T113">
        <v>1</v>
      </c>
      <c r="U113">
        <v>8</v>
      </c>
      <c r="V113">
        <v>10</v>
      </c>
      <c r="W113" cm="1">
        <f t="array" aca="1" ref="W113" ca="1">IF(AND(INDIRECT("B"&amp;(T113+70))="X",INDIRECT("B"&amp;(U113+70))="X",INDIRECT("B"&amp;(V113+70))="X"),1,0)+IF(AND(INDIRECT("C"&amp;(T113+70))="X",INDIRECT("C"&amp;(U113+70))="X",INDIRECT("C"&amp;(V113+70))="X"),1,0)+IF(AND(INDIRECT("D"&amp;(T113+70))="X",INDIRECT("D"&amp;(U113+70))="X",INDIRECT("D"&amp;(V113+70))="X"),1,0)+IF(AND(INDIRECT("E"&amp;(T113+70))="X",INDIRECT("E"&amp;(U113+70))="X",INDIRECT("E"&amp;(V113+70))="X"),1,0)+IF(AND(INDIRECT("F"&amp;(T113+70))="X",INDIRECT("F"&amp;(U113+70))="X",INDIRECT("F"&amp;(V113+70))="X"),1,0)+IF(AND(INDIRECT("G"&amp;(T113+70))="X",INDIRECT("G"&amp;(U113+70))="X",INDIRECT("G"&amp;(V113+70))="X"),1,0)+IF(AND(INDIRECT("H"&amp;(T113+70))="X",INDIRECT("H"&amp;(U113+70))="X",INDIRECT("H"&amp;(V113+70))="X"),1,0)+IF(AND(INDIRECT("I"&amp;(T113+70))="X",INDIRECT("I"&amp;(U113+70))="X",INDIRECT("I"&amp;(V113+70))="X"),1,0)+IF(AND(INDIRECT("J"&amp;(T113+70))="X",INDIRECT("J"&amp;(U113+70))="X",INDIRECT("J"&amp;(V113+70))="X"),1,0)+IF(AND(INDIRECT("K"&amp;(T113+70))="X",INDIRECT("K"&amp;(U113+70))="X",INDIRECT("K"&amp;(V113+70))="X"),1,0)+IF(AND(INDIRECT("L"&amp;(T113+70))="X",INDIRECT("L"&amp;(U113+70))="X",INDIRECT("L"&amp;(V113+70))="X"),1,0)+IF(AND(INDIRECT("M"&amp;(T113+70))="X",INDIRECT("M"&amp;(U113+70))="X",INDIRECT("M"&amp;(V113+70))="X"),1,0)+IF(AND(INDIRECT("N"&amp;(T113+70))="X",INDIRECT("N"&amp;(U113+70))="X",INDIRECT("N"&amp;(V113+70))="X"),1,0)+IF(AND(INDIRECT("O"&amp;(T113+70))="X",INDIRECT("O"&amp;(U113+70))="X",INDIRECT("O"&amp;(V113+70))="X"),1,0)+IF(AND(INDIRECT("P"&amp;(T113+70))="X",INDIRECT("P"&amp;(U113+70))="X",INDIRECT("P"&amp;(V113+70))="X"),1,0)+IF(AND(INDIRECT("Q"&amp;(T113+70))="X",INDIRECT("Q"&amp;(U113+70))="X",INDIRECT("Q"&amp;(V113+70))="X"),1,0)</f>
        <v>1</v>
      </c>
    </row>
    <row r="114" spans="20:23" x14ac:dyDescent="0.3">
      <c r="T114">
        <v>1</v>
      </c>
      <c r="U114">
        <v>8</v>
      </c>
      <c r="V114">
        <v>11</v>
      </c>
      <c r="W114" cm="1">
        <f t="array" aca="1" ref="W114" ca="1">IF(AND(INDIRECT("B"&amp;(T114+70))="X",INDIRECT("B"&amp;(U114+70))="X",INDIRECT("B"&amp;(V114+70))="X"),1,0)+IF(AND(INDIRECT("C"&amp;(T114+70))="X",INDIRECT("C"&amp;(U114+70))="X",INDIRECT("C"&amp;(V114+70))="X"),1,0)+IF(AND(INDIRECT("D"&amp;(T114+70))="X",INDIRECT("D"&amp;(U114+70))="X",INDIRECT("D"&amp;(V114+70))="X"),1,0)+IF(AND(INDIRECT("E"&amp;(T114+70))="X",INDIRECT("E"&amp;(U114+70))="X",INDIRECT("E"&amp;(V114+70))="X"),1,0)+IF(AND(INDIRECT("F"&amp;(T114+70))="X",INDIRECT("F"&amp;(U114+70))="X",INDIRECT("F"&amp;(V114+70))="X"),1,0)+IF(AND(INDIRECT("G"&amp;(T114+70))="X",INDIRECT("G"&amp;(U114+70))="X",INDIRECT("G"&amp;(V114+70))="X"),1,0)+IF(AND(INDIRECT("H"&amp;(T114+70))="X",INDIRECT("H"&amp;(U114+70))="X",INDIRECT("H"&amp;(V114+70))="X"),1,0)+IF(AND(INDIRECT("I"&amp;(T114+70))="X",INDIRECT("I"&amp;(U114+70))="X",INDIRECT("I"&amp;(V114+70))="X"),1,0)+IF(AND(INDIRECT("J"&amp;(T114+70))="X",INDIRECT("J"&amp;(U114+70))="X",INDIRECT("J"&amp;(V114+70))="X"),1,0)+IF(AND(INDIRECT("K"&amp;(T114+70))="X",INDIRECT("K"&amp;(U114+70))="X",INDIRECT("K"&amp;(V114+70))="X"),1,0)+IF(AND(INDIRECT("L"&amp;(T114+70))="X",INDIRECT("L"&amp;(U114+70))="X",INDIRECT("L"&amp;(V114+70))="X"),1,0)+IF(AND(INDIRECT("M"&amp;(T114+70))="X",INDIRECT("M"&amp;(U114+70))="X",INDIRECT("M"&amp;(V114+70))="X"),1,0)+IF(AND(INDIRECT("N"&amp;(T114+70))="X",INDIRECT("N"&amp;(U114+70))="X",INDIRECT("N"&amp;(V114+70))="X"),1,0)+IF(AND(INDIRECT("O"&amp;(T114+70))="X",INDIRECT("O"&amp;(U114+70))="X",INDIRECT("O"&amp;(V114+70))="X"),1,0)+IF(AND(INDIRECT("P"&amp;(T114+70))="X",INDIRECT("P"&amp;(U114+70))="X",INDIRECT("P"&amp;(V114+70))="X"),1,0)+IF(AND(INDIRECT("Q"&amp;(T114+70))="X",INDIRECT("Q"&amp;(U114+70))="X",INDIRECT("Q"&amp;(V114+70))="X"),1,0)</f>
        <v>0</v>
      </c>
    </row>
    <row r="115" spans="20:23" x14ac:dyDescent="0.3">
      <c r="T115">
        <v>1</v>
      </c>
      <c r="U115">
        <v>8</v>
      </c>
      <c r="V115">
        <v>12</v>
      </c>
      <c r="W115" cm="1">
        <f t="array" aca="1" ref="W115" ca="1">IF(AND(INDIRECT("B"&amp;(T115+70))="X",INDIRECT("B"&amp;(U115+70))="X",INDIRECT("B"&amp;(V115+70))="X"),1,0)+IF(AND(INDIRECT("C"&amp;(T115+70))="X",INDIRECT("C"&amp;(U115+70))="X",INDIRECT("C"&amp;(V115+70))="X"),1,0)+IF(AND(INDIRECT("D"&amp;(T115+70))="X",INDIRECT("D"&amp;(U115+70))="X",INDIRECT("D"&amp;(V115+70))="X"),1,0)+IF(AND(INDIRECT("E"&amp;(T115+70))="X",INDIRECT("E"&amp;(U115+70))="X",INDIRECT("E"&amp;(V115+70))="X"),1,0)+IF(AND(INDIRECT("F"&amp;(T115+70))="X",INDIRECT("F"&amp;(U115+70))="X",INDIRECT("F"&amp;(V115+70))="X"),1,0)+IF(AND(INDIRECT("G"&amp;(T115+70))="X",INDIRECT("G"&amp;(U115+70))="X",INDIRECT("G"&amp;(V115+70))="X"),1,0)+IF(AND(INDIRECT("H"&amp;(T115+70))="X",INDIRECT("H"&amp;(U115+70))="X",INDIRECT("H"&amp;(V115+70))="X"),1,0)+IF(AND(INDIRECT("I"&amp;(T115+70))="X",INDIRECT("I"&amp;(U115+70))="X",INDIRECT("I"&amp;(V115+70))="X"),1,0)+IF(AND(INDIRECT("J"&amp;(T115+70))="X",INDIRECT("J"&amp;(U115+70))="X",INDIRECT("J"&amp;(V115+70))="X"),1,0)+IF(AND(INDIRECT("K"&amp;(T115+70))="X",INDIRECT("K"&amp;(U115+70))="X",INDIRECT("K"&amp;(V115+70))="X"),1,0)+IF(AND(INDIRECT("L"&amp;(T115+70))="X",INDIRECT("L"&amp;(U115+70))="X",INDIRECT("L"&amp;(V115+70))="X"),1,0)+IF(AND(INDIRECT("M"&amp;(T115+70))="X",INDIRECT("M"&amp;(U115+70))="X",INDIRECT("M"&amp;(V115+70))="X"),1,0)+IF(AND(INDIRECT("N"&amp;(T115+70))="X",INDIRECT("N"&amp;(U115+70))="X",INDIRECT("N"&amp;(V115+70))="X"),1,0)+IF(AND(INDIRECT("O"&amp;(T115+70))="X",INDIRECT("O"&amp;(U115+70))="X",INDIRECT("O"&amp;(V115+70))="X"),1,0)+IF(AND(INDIRECT("P"&amp;(T115+70))="X",INDIRECT("P"&amp;(U115+70))="X",INDIRECT("P"&amp;(V115+70))="X"),1,0)+IF(AND(INDIRECT("Q"&amp;(T115+70))="X",INDIRECT("Q"&amp;(U115+70))="X",INDIRECT("Q"&amp;(V115+70))="X"),1,0)</f>
        <v>3</v>
      </c>
    </row>
    <row r="116" spans="20:23" x14ac:dyDescent="0.3">
      <c r="T116">
        <v>1</v>
      </c>
      <c r="U116">
        <v>8</v>
      </c>
      <c r="V116">
        <v>13</v>
      </c>
      <c r="W116" cm="1">
        <f t="array" aca="1" ref="W116" ca="1">IF(AND(INDIRECT("B"&amp;(T116+70))="X",INDIRECT("B"&amp;(U116+70))="X",INDIRECT("B"&amp;(V116+70))="X"),1,0)+IF(AND(INDIRECT("C"&amp;(T116+70))="X",INDIRECT("C"&amp;(U116+70))="X",INDIRECT("C"&amp;(V116+70))="X"),1,0)+IF(AND(INDIRECT("D"&amp;(T116+70))="X",INDIRECT("D"&amp;(U116+70))="X",INDIRECT("D"&amp;(V116+70))="X"),1,0)+IF(AND(INDIRECT("E"&amp;(T116+70))="X",INDIRECT("E"&amp;(U116+70))="X",INDIRECT("E"&amp;(V116+70))="X"),1,0)+IF(AND(INDIRECT("F"&amp;(T116+70))="X",INDIRECT("F"&amp;(U116+70))="X",INDIRECT("F"&amp;(V116+70))="X"),1,0)+IF(AND(INDIRECT("G"&amp;(T116+70))="X",INDIRECT("G"&amp;(U116+70))="X",INDIRECT("G"&amp;(V116+70))="X"),1,0)+IF(AND(INDIRECT("H"&amp;(T116+70))="X",INDIRECT("H"&amp;(U116+70))="X",INDIRECT("H"&amp;(V116+70))="X"),1,0)+IF(AND(INDIRECT("I"&amp;(T116+70))="X",INDIRECT("I"&amp;(U116+70))="X",INDIRECT("I"&amp;(V116+70))="X"),1,0)+IF(AND(INDIRECT("J"&amp;(T116+70))="X",INDIRECT("J"&amp;(U116+70))="X",INDIRECT("J"&amp;(V116+70))="X"),1,0)+IF(AND(INDIRECT("K"&amp;(T116+70))="X",INDIRECT("K"&amp;(U116+70))="X",INDIRECT("K"&amp;(V116+70))="X"),1,0)+IF(AND(INDIRECT("L"&amp;(T116+70))="X",INDIRECT("L"&amp;(U116+70))="X",INDIRECT("L"&amp;(V116+70))="X"),1,0)+IF(AND(INDIRECT("M"&amp;(T116+70))="X",INDIRECT("M"&amp;(U116+70))="X",INDIRECT("M"&amp;(V116+70))="X"),1,0)+IF(AND(INDIRECT("N"&amp;(T116+70))="X",INDIRECT("N"&amp;(U116+70))="X",INDIRECT("N"&amp;(V116+70))="X"),1,0)+IF(AND(INDIRECT("O"&amp;(T116+70))="X",INDIRECT("O"&amp;(U116+70))="X",INDIRECT("O"&amp;(V116+70))="X"),1,0)+IF(AND(INDIRECT("P"&amp;(T116+70))="X",INDIRECT("P"&amp;(U116+70))="X",INDIRECT("P"&amp;(V116+70))="X"),1,0)+IF(AND(INDIRECT("Q"&amp;(T116+70))="X",INDIRECT("Q"&amp;(U116+70))="X",INDIRECT("Q"&amp;(V116+70))="X"),1,0)</f>
        <v>2</v>
      </c>
    </row>
    <row r="117" spans="20:23" x14ac:dyDescent="0.3">
      <c r="T117">
        <v>1</v>
      </c>
      <c r="U117">
        <v>8</v>
      </c>
      <c r="V117">
        <v>14</v>
      </c>
      <c r="W117" cm="1">
        <f t="array" aca="1" ref="W117" ca="1">IF(AND(INDIRECT("B"&amp;(T117+70))="X",INDIRECT("B"&amp;(U117+70))="X",INDIRECT("B"&amp;(V117+70))="X"),1,0)+IF(AND(INDIRECT("C"&amp;(T117+70))="X",INDIRECT("C"&amp;(U117+70))="X",INDIRECT("C"&amp;(V117+70))="X"),1,0)+IF(AND(INDIRECT("D"&amp;(T117+70))="X",INDIRECT("D"&amp;(U117+70))="X",INDIRECT("D"&amp;(V117+70))="X"),1,0)+IF(AND(INDIRECT("E"&amp;(T117+70))="X",INDIRECT("E"&amp;(U117+70))="X",INDIRECT("E"&amp;(V117+70))="X"),1,0)+IF(AND(INDIRECT("F"&amp;(T117+70))="X",INDIRECT("F"&amp;(U117+70))="X",INDIRECT("F"&amp;(V117+70))="X"),1,0)+IF(AND(INDIRECT("G"&amp;(T117+70))="X",INDIRECT("G"&amp;(U117+70))="X",INDIRECT("G"&amp;(V117+70))="X"),1,0)+IF(AND(INDIRECT("H"&amp;(T117+70))="X",INDIRECT("H"&amp;(U117+70))="X",INDIRECT("H"&amp;(V117+70))="X"),1,0)+IF(AND(INDIRECT("I"&amp;(T117+70))="X",INDIRECT("I"&amp;(U117+70))="X",INDIRECT("I"&amp;(V117+70))="X"),1,0)+IF(AND(INDIRECT("J"&amp;(T117+70))="X",INDIRECT("J"&amp;(U117+70))="X",INDIRECT("J"&amp;(V117+70))="X"),1,0)+IF(AND(INDIRECT("K"&amp;(T117+70))="X",INDIRECT("K"&amp;(U117+70))="X",INDIRECT("K"&amp;(V117+70))="X"),1,0)+IF(AND(INDIRECT("L"&amp;(T117+70))="X",INDIRECT("L"&amp;(U117+70))="X",INDIRECT("L"&amp;(V117+70))="X"),1,0)+IF(AND(INDIRECT("M"&amp;(T117+70))="X",INDIRECT("M"&amp;(U117+70))="X",INDIRECT("M"&amp;(V117+70))="X"),1,0)+IF(AND(INDIRECT("N"&amp;(T117+70))="X",INDIRECT("N"&amp;(U117+70))="X",INDIRECT("N"&amp;(V117+70))="X"),1,0)+IF(AND(INDIRECT("O"&amp;(T117+70))="X",INDIRECT("O"&amp;(U117+70))="X",INDIRECT("O"&amp;(V117+70))="X"),1,0)+IF(AND(INDIRECT("P"&amp;(T117+70))="X",INDIRECT("P"&amp;(U117+70))="X",INDIRECT("P"&amp;(V117+70))="X"),1,0)+IF(AND(INDIRECT("Q"&amp;(T117+70))="X",INDIRECT("Q"&amp;(U117+70))="X",INDIRECT("Q"&amp;(V117+70))="X"),1,0)</f>
        <v>1</v>
      </c>
    </row>
    <row r="118" spans="20:23" x14ac:dyDescent="0.3">
      <c r="T118">
        <v>1</v>
      </c>
      <c r="U118">
        <v>9</v>
      </c>
      <c r="V118">
        <v>10</v>
      </c>
      <c r="W118" cm="1">
        <f t="array" aca="1" ref="W118" ca="1">IF(AND(INDIRECT("B"&amp;(T118+70))="X",INDIRECT("B"&amp;(U118+70))="X",INDIRECT("B"&amp;(V118+70))="X"),1,0)+IF(AND(INDIRECT("C"&amp;(T118+70))="X",INDIRECT("C"&amp;(U118+70))="X",INDIRECT("C"&amp;(V118+70))="X"),1,0)+IF(AND(INDIRECT("D"&amp;(T118+70))="X",INDIRECT("D"&amp;(U118+70))="X",INDIRECT("D"&amp;(V118+70))="X"),1,0)+IF(AND(INDIRECT("E"&amp;(T118+70))="X",INDIRECT("E"&amp;(U118+70))="X",INDIRECT("E"&amp;(V118+70))="X"),1,0)+IF(AND(INDIRECT("F"&amp;(T118+70))="X",INDIRECT("F"&amp;(U118+70))="X",INDIRECT("F"&amp;(V118+70))="X"),1,0)+IF(AND(INDIRECT("G"&amp;(T118+70))="X",INDIRECT("G"&amp;(U118+70))="X",INDIRECT("G"&amp;(V118+70))="X"),1,0)+IF(AND(INDIRECT("H"&amp;(T118+70))="X",INDIRECT("H"&amp;(U118+70))="X",INDIRECT("H"&amp;(V118+70))="X"),1,0)+IF(AND(INDIRECT("I"&amp;(T118+70))="X",INDIRECT("I"&amp;(U118+70))="X",INDIRECT("I"&amp;(V118+70))="X"),1,0)+IF(AND(INDIRECT("J"&amp;(T118+70))="X",INDIRECT("J"&amp;(U118+70))="X",INDIRECT("J"&amp;(V118+70))="X"),1,0)+IF(AND(INDIRECT("K"&amp;(T118+70))="X",INDIRECT("K"&amp;(U118+70))="X",INDIRECT("K"&amp;(V118+70))="X"),1,0)+IF(AND(INDIRECT("L"&amp;(T118+70))="X",INDIRECT("L"&amp;(U118+70))="X",INDIRECT("L"&amp;(V118+70))="X"),1,0)+IF(AND(INDIRECT("M"&amp;(T118+70))="X",INDIRECT("M"&amp;(U118+70))="X",INDIRECT("M"&amp;(V118+70))="X"),1,0)+IF(AND(INDIRECT("N"&amp;(T118+70))="X",INDIRECT("N"&amp;(U118+70))="X",INDIRECT("N"&amp;(V118+70))="X"),1,0)+IF(AND(INDIRECT("O"&amp;(T118+70))="X",INDIRECT("O"&amp;(U118+70))="X",INDIRECT("O"&amp;(V118+70))="X"),1,0)+IF(AND(INDIRECT("P"&amp;(T118+70))="X",INDIRECT("P"&amp;(U118+70))="X",INDIRECT("P"&amp;(V118+70))="X"),1,0)+IF(AND(INDIRECT("Q"&amp;(T118+70))="X",INDIRECT("Q"&amp;(U118+70))="X",INDIRECT("Q"&amp;(V118+70))="X"),1,0)</f>
        <v>1</v>
      </c>
    </row>
    <row r="119" spans="20:23" x14ac:dyDescent="0.3">
      <c r="T119">
        <v>1</v>
      </c>
      <c r="U119">
        <v>9</v>
      </c>
      <c r="V119">
        <v>11</v>
      </c>
      <c r="W119" cm="1">
        <f t="array" aca="1" ref="W119" ca="1">IF(AND(INDIRECT("B"&amp;(T119+70))="X",INDIRECT("B"&amp;(U119+70))="X",INDIRECT("B"&amp;(V119+70))="X"),1,0)+IF(AND(INDIRECT("C"&amp;(T119+70))="X",INDIRECT("C"&amp;(U119+70))="X",INDIRECT("C"&amp;(V119+70))="X"),1,0)+IF(AND(INDIRECT("D"&amp;(T119+70))="X",INDIRECT("D"&amp;(U119+70))="X",INDIRECT("D"&amp;(V119+70))="X"),1,0)+IF(AND(INDIRECT("E"&amp;(T119+70))="X",INDIRECT("E"&amp;(U119+70))="X",INDIRECT("E"&amp;(V119+70))="X"),1,0)+IF(AND(INDIRECT("F"&amp;(T119+70))="X",INDIRECT("F"&amp;(U119+70))="X",INDIRECT("F"&amp;(V119+70))="X"),1,0)+IF(AND(INDIRECT("G"&amp;(T119+70))="X",INDIRECT("G"&amp;(U119+70))="X",INDIRECT("G"&amp;(V119+70))="X"),1,0)+IF(AND(INDIRECT("H"&amp;(T119+70))="X",INDIRECT("H"&amp;(U119+70))="X",INDIRECT("H"&amp;(V119+70))="X"),1,0)+IF(AND(INDIRECT("I"&amp;(T119+70))="X",INDIRECT("I"&amp;(U119+70))="X",INDIRECT("I"&amp;(V119+70))="X"),1,0)+IF(AND(INDIRECT("J"&amp;(T119+70))="X",INDIRECT("J"&amp;(U119+70))="X",INDIRECT("J"&amp;(V119+70))="X"),1,0)+IF(AND(INDIRECT("K"&amp;(T119+70))="X",INDIRECT("K"&amp;(U119+70))="X",INDIRECT("K"&amp;(V119+70))="X"),1,0)+IF(AND(INDIRECT("L"&amp;(T119+70))="X",INDIRECT("L"&amp;(U119+70))="X",INDIRECT("L"&amp;(V119+70))="X"),1,0)+IF(AND(INDIRECT("M"&amp;(T119+70))="X",INDIRECT("M"&amp;(U119+70))="X",INDIRECT("M"&amp;(V119+70))="X"),1,0)+IF(AND(INDIRECT("N"&amp;(T119+70))="X",INDIRECT("N"&amp;(U119+70))="X",INDIRECT("N"&amp;(V119+70))="X"),1,0)+IF(AND(INDIRECT("O"&amp;(T119+70))="X",INDIRECT("O"&amp;(U119+70))="X",INDIRECT("O"&amp;(V119+70))="X"),1,0)+IF(AND(INDIRECT("P"&amp;(T119+70))="X",INDIRECT("P"&amp;(U119+70))="X",INDIRECT("P"&amp;(V119+70))="X"),1,0)+IF(AND(INDIRECT("Q"&amp;(T119+70))="X",INDIRECT("Q"&amp;(U119+70))="X",INDIRECT("Q"&amp;(V119+70))="X"),1,0)</f>
        <v>1</v>
      </c>
    </row>
    <row r="120" spans="20:23" x14ac:dyDescent="0.3">
      <c r="T120">
        <v>1</v>
      </c>
      <c r="U120">
        <v>9</v>
      </c>
      <c r="V120">
        <v>12</v>
      </c>
      <c r="W120" cm="1">
        <f t="array" aca="1" ref="W120" ca="1">IF(AND(INDIRECT("B"&amp;(T120+70))="X",INDIRECT("B"&amp;(U120+70))="X",INDIRECT("B"&amp;(V120+70))="X"),1,0)+IF(AND(INDIRECT("C"&amp;(T120+70))="X",INDIRECT("C"&amp;(U120+70))="X",INDIRECT("C"&amp;(V120+70))="X"),1,0)+IF(AND(INDIRECT("D"&amp;(T120+70))="X",INDIRECT("D"&amp;(U120+70))="X",INDIRECT("D"&amp;(V120+70))="X"),1,0)+IF(AND(INDIRECT("E"&amp;(T120+70))="X",INDIRECT("E"&amp;(U120+70))="X",INDIRECT("E"&amp;(V120+70))="X"),1,0)+IF(AND(INDIRECT("F"&amp;(T120+70))="X",INDIRECT("F"&amp;(U120+70))="X",INDIRECT("F"&amp;(V120+70))="X"),1,0)+IF(AND(INDIRECT("G"&amp;(T120+70))="X",INDIRECT("G"&amp;(U120+70))="X",INDIRECT("G"&amp;(V120+70))="X"),1,0)+IF(AND(INDIRECT("H"&amp;(T120+70))="X",INDIRECT("H"&amp;(U120+70))="X",INDIRECT("H"&amp;(V120+70))="X"),1,0)+IF(AND(INDIRECT("I"&amp;(T120+70))="X",INDIRECT("I"&amp;(U120+70))="X",INDIRECT("I"&amp;(V120+70))="X"),1,0)+IF(AND(INDIRECT("J"&amp;(T120+70))="X",INDIRECT("J"&amp;(U120+70))="X",INDIRECT("J"&amp;(V120+70))="X"),1,0)+IF(AND(INDIRECT("K"&amp;(T120+70))="X",INDIRECT("K"&amp;(U120+70))="X",INDIRECT("K"&amp;(V120+70))="X"),1,0)+IF(AND(INDIRECT("L"&amp;(T120+70))="X",INDIRECT("L"&amp;(U120+70))="X",INDIRECT("L"&amp;(V120+70))="X"),1,0)+IF(AND(INDIRECT("M"&amp;(T120+70))="X",INDIRECT("M"&amp;(U120+70))="X",INDIRECT("M"&amp;(V120+70))="X"),1,0)+IF(AND(INDIRECT("N"&amp;(T120+70))="X",INDIRECT("N"&amp;(U120+70))="X",INDIRECT("N"&amp;(V120+70))="X"),1,0)+IF(AND(INDIRECT("O"&amp;(T120+70))="X",INDIRECT("O"&amp;(U120+70))="X",INDIRECT("O"&amp;(V120+70))="X"),1,0)+IF(AND(INDIRECT("P"&amp;(T120+70))="X",INDIRECT("P"&amp;(U120+70))="X",INDIRECT("P"&amp;(V120+70))="X"),1,0)+IF(AND(INDIRECT("Q"&amp;(T120+70))="X",INDIRECT("Q"&amp;(U120+70))="X",INDIRECT("Q"&amp;(V120+70))="X"),1,0)</f>
        <v>0</v>
      </c>
    </row>
    <row r="121" spans="20:23" x14ac:dyDescent="0.3">
      <c r="T121">
        <v>1</v>
      </c>
      <c r="U121">
        <v>9</v>
      </c>
      <c r="V121">
        <v>13</v>
      </c>
      <c r="W121" cm="1">
        <f t="array" aca="1" ref="W121" ca="1">IF(AND(INDIRECT("B"&amp;(T121+70))="X",INDIRECT("B"&amp;(U121+70))="X",INDIRECT("B"&amp;(V121+70))="X"),1,0)+IF(AND(INDIRECT("C"&amp;(T121+70))="X",INDIRECT("C"&amp;(U121+70))="X",INDIRECT("C"&amp;(V121+70))="X"),1,0)+IF(AND(INDIRECT("D"&amp;(T121+70))="X",INDIRECT("D"&amp;(U121+70))="X",INDIRECT("D"&amp;(V121+70))="X"),1,0)+IF(AND(INDIRECT("E"&amp;(T121+70))="X",INDIRECT("E"&amp;(U121+70))="X",INDIRECT("E"&amp;(V121+70))="X"),1,0)+IF(AND(INDIRECT("F"&amp;(T121+70))="X",INDIRECT("F"&amp;(U121+70))="X",INDIRECT("F"&amp;(V121+70))="X"),1,0)+IF(AND(INDIRECT("G"&amp;(T121+70))="X",INDIRECT("G"&amp;(U121+70))="X",INDIRECT("G"&amp;(V121+70))="X"),1,0)+IF(AND(INDIRECT("H"&amp;(T121+70))="X",INDIRECT("H"&amp;(U121+70))="X",INDIRECT("H"&amp;(V121+70))="X"),1,0)+IF(AND(INDIRECT("I"&amp;(T121+70))="X",INDIRECT("I"&amp;(U121+70))="X",INDIRECT("I"&amp;(V121+70))="X"),1,0)+IF(AND(INDIRECT("J"&amp;(T121+70))="X",INDIRECT("J"&amp;(U121+70))="X",INDIRECT("J"&amp;(V121+70))="X"),1,0)+IF(AND(INDIRECT("K"&amp;(T121+70))="X",INDIRECT("K"&amp;(U121+70))="X",INDIRECT("K"&amp;(V121+70))="X"),1,0)+IF(AND(INDIRECT("L"&amp;(T121+70))="X",INDIRECT("L"&amp;(U121+70))="X",INDIRECT("L"&amp;(V121+70))="X"),1,0)+IF(AND(INDIRECT("M"&amp;(T121+70))="X",INDIRECT("M"&amp;(U121+70))="X",INDIRECT("M"&amp;(V121+70))="X"),1,0)+IF(AND(INDIRECT("N"&amp;(T121+70))="X",INDIRECT("N"&amp;(U121+70))="X",INDIRECT("N"&amp;(V121+70))="X"),1,0)+IF(AND(INDIRECT("O"&amp;(T121+70))="X",INDIRECT("O"&amp;(U121+70))="X",INDIRECT("O"&amp;(V121+70))="X"),1,0)+IF(AND(INDIRECT("P"&amp;(T121+70))="X",INDIRECT("P"&amp;(U121+70))="X",INDIRECT("P"&amp;(V121+70))="X"),1,0)+IF(AND(INDIRECT("Q"&amp;(T121+70))="X",INDIRECT("Q"&amp;(U121+70))="X",INDIRECT("Q"&amp;(V121+70))="X"),1,0)</f>
        <v>2</v>
      </c>
    </row>
    <row r="122" spans="20:23" x14ac:dyDescent="0.3">
      <c r="T122">
        <v>1</v>
      </c>
      <c r="U122">
        <v>9</v>
      </c>
      <c r="V122">
        <v>14</v>
      </c>
      <c r="W122" cm="1">
        <f t="array" aca="1" ref="W122" ca="1">IF(AND(INDIRECT("B"&amp;(T122+70))="X",INDIRECT("B"&amp;(U122+70))="X",INDIRECT("B"&amp;(V122+70))="X"),1,0)+IF(AND(INDIRECT("C"&amp;(T122+70))="X",INDIRECT("C"&amp;(U122+70))="X",INDIRECT("C"&amp;(V122+70))="X"),1,0)+IF(AND(INDIRECT("D"&amp;(T122+70))="X",INDIRECT("D"&amp;(U122+70))="X",INDIRECT("D"&amp;(V122+70))="X"),1,0)+IF(AND(INDIRECT("E"&amp;(T122+70))="X",INDIRECT("E"&amp;(U122+70))="X",INDIRECT("E"&amp;(V122+70))="X"),1,0)+IF(AND(INDIRECT("F"&amp;(T122+70))="X",INDIRECT("F"&amp;(U122+70))="X",INDIRECT("F"&amp;(V122+70))="X"),1,0)+IF(AND(INDIRECT("G"&amp;(T122+70))="X",INDIRECT("G"&amp;(U122+70))="X",INDIRECT("G"&amp;(V122+70))="X"),1,0)+IF(AND(INDIRECT("H"&amp;(T122+70))="X",INDIRECT("H"&amp;(U122+70))="X",INDIRECT("H"&amp;(V122+70))="X"),1,0)+IF(AND(INDIRECT("I"&amp;(T122+70))="X",INDIRECT("I"&amp;(U122+70))="X",INDIRECT("I"&amp;(V122+70))="X"),1,0)+IF(AND(INDIRECT("J"&amp;(T122+70))="X",INDIRECT("J"&amp;(U122+70))="X",INDIRECT("J"&amp;(V122+70))="X"),1,0)+IF(AND(INDIRECT("K"&amp;(T122+70))="X",INDIRECT("K"&amp;(U122+70))="X",INDIRECT("K"&amp;(V122+70))="X"),1,0)+IF(AND(INDIRECT("L"&amp;(T122+70))="X",INDIRECT("L"&amp;(U122+70))="X",INDIRECT("L"&amp;(V122+70))="X"),1,0)+IF(AND(INDIRECT("M"&amp;(T122+70))="X",INDIRECT("M"&amp;(U122+70))="X",INDIRECT("M"&amp;(V122+70))="X"),1,0)+IF(AND(INDIRECT("N"&amp;(T122+70))="X",INDIRECT("N"&amp;(U122+70))="X",INDIRECT("N"&amp;(V122+70))="X"),1,0)+IF(AND(INDIRECT("O"&amp;(T122+70))="X",INDIRECT("O"&amp;(U122+70))="X",INDIRECT("O"&amp;(V122+70))="X"),1,0)+IF(AND(INDIRECT("P"&amp;(T122+70))="X",INDIRECT("P"&amp;(U122+70))="X",INDIRECT("P"&amp;(V122+70))="X"),1,0)+IF(AND(INDIRECT("Q"&amp;(T122+70))="X",INDIRECT("Q"&amp;(U122+70))="X",INDIRECT("Q"&amp;(V122+70))="X"),1,0)</f>
        <v>0</v>
      </c>
    </row>
    <row r="123" spans="20:23" x14ac:dyDescent="0.3">
      <c r="T123">
        <v>1</v>
      </c>
      <c r="U123">
        <v>10</v>
      </c>
      <c r="V123">
        <v>11</v>
      </c>
      <c r="W123" cm="1">
        <f t="array" aca="1" ref="W123" ca="1">IF(AND(INDIRECT("B"&amp;(T123+70))="X",INDIRECT("B"&amp;(U123+70))="X",INDIRECT("B"&amp;(V123+70))="X"),1,0)+IF(AND(INDIRECT("C"&amp;(T123+70))="X",INDIRECT("C"&amp;(U123+70))="X",INDIRECT("C"&amp;(V123+70))="X"),1,0)+IF(AND(INDIRECT("D"&amp;(T123+70))="X",INDIRECT("D"&amp;(U123+70))="X",INDIRECT("D"&amp;(V123+70))="X"),1,0)+IF(AND(INDIRECT("E"&amp;(T123+70))="X",INDIRECT("E"&amp;(U123+70))="X",INDIRECT("E"&amp;(V123+70))="X"),1,0)+IF(AND(INDIRECT("F"&amp;(T123+70))="X",INDIRECT("F"&amp;(U123+70))="X",INDIRECT("F"&amp;(V123+70))="X"),1,0)+IF(AND(INDIRECT("G"&amp;(T123+70))="X",INDIRECT("G"&amp;(U123+70))="X",INDIRECT("G"&amp;(V123+70))="X"),1,0)+IF(AND(INDIRECT("H"&amp;(T123+70))="X",INDIRECT("H"&amp;(U123+70))="X",INDIRECT("H"&amp;(V123+70))="X"),1,0)+IF(AND(INDIRECT("I"&amp;(T123+70))="X",INDIRECT("I"&amp;(U123+70))="X",INDIRECT("I"&amp;(V123+70))="X"),1,0)+IF(AND(INDIRECT("J"&amp;(T123+70))="X",INDIRECT("J"&amp;(U123+70))="X",INDIRECT("J"&amp;(V123+70))="X"),1,0)+IF(AND(INDIRECT("K"&amp;(T123+70))="X",INDIRECT("K"&amp;(U123+70))="X",INDIRECT("K"&amp;(V123+70))="X"),1,0)+IF(AND(INDIRECT("L"&amp;(T123+70))="X",INDIRECT("L"&amp;(U123+70))="X",INDIRECT("L"&amp;(V123+70))="X"),1,0)+IF(AND(INDIRECT("M"&amp;(T123+70))="X",INDIRECT("M"&amp;(U123+70))="X",INDIRECT("M"&amp;(V123+70))="X"),1,0)+IF(AND(INDIRECT("N"&amp;(T123+70))="X",INDIRECT("N"&amp;(U123+70))="X",INDIRECT("N"&amp;(V123+70))="X"),1,0)+IF(AND(INDIRECT("O"&amp;(T123+70))="X",INDIRECT("O"&amp;(U123+70))="X",INDIRECT("O"&amp;(V123+70))="X"),1,0)+IF(AND(INDIRECT("P"&amp;(T123+70))="X",INDIRECT("P"&amp;(U123+70))="X",INDIRECT("P"&amp;(V123+70))="X"),1,0)+IF(AND(INDIRECT("Q"&amp;(T123+70))="X",INDIRECT("Q"&amp;(U123+70))="X",INDIRECT("Q"&amp;(V123+70))="X"),1,0)</f>
        <v>1</v>
      </c>
    </row>
    <row r="124" spans="20:23" x14ac:dyDescent="0.3">
      <c r="T124">
        <v>1</v>
      </c>
      <c r="U124">
        <v>10</v>
      </c>
      <c r="V124">
        <v>12</v>
      </c>
      <c r="W124" cm="1">
        <f t="array" aca="1" ref="W124" ca="1">IF(AND(INDIRECT("B"&amp;(T124+70))="X",INDIRECT("B"&amp;(U124+70))="X",INDIRECT("B"&amp;(V124+70))="X"),1,0)+IF(AND(INDIRECT("C"&amp;(T124+70))="X",INDIRECT("C"&amp;(U124+70))="X",INDIRECT("C"&amp;(V124+70))="X"),1,0)+IF(AND(INDIRECT("D"&amp;(T124+70))="X",INDIRECT("D"&amp;(U124+70))="X",INDIRECT("D"&amp;(V124+70))="X"),1,0)+IF(AND(INDIRECT("E"&amp;(T124+70))="X",INDIRECT("E"&amp;(U124+70))="X",INDIRECT("E"&amp;(V124+70))="X"),1,0)+IF(AND(INDIRECT("F"&amp;(T124+70))="X",INDIRECT("F"&amp;(U124+70))="X",INDIRECT("F"&amp;(V124+70))="X"),1,0)+IF(AND(INDIRECT("G"&amp;(T124+70))="X",INDIRECT("G"&amp;(U124+70))="X",INDIRECT("G"&amp;(V124+70))="X"),1,0)+IF(AND(INDIRECT("H"&amp;(T124+70))="X",INDIRECT("H"&amp;(U124+70))="X",INDIRECT("H"&amp;(V124+70))="X"),1,0)+IF(AND(INDIRECT("I"&amp;(T124+70))="X",INDIRECT("I"&amp;(U124+70))="X",INDIRECT("I"&amp;(V124+70))="X"),1,0)+IF(AND(INDIRECT("J"&amp;(T124+70))="X",INDIRECT("J"&amp;(U124+70))="X",INDIRECT("J"&amp;(V124+70))="X"),1,0)+IF(AND(INDIRECT("K"&amp;(T124+70))="X",INDIRECT("K"&amp;(U124+70))="X",INDIRECT("K"&amp;(V124+70))="X"),1,0)+IF(AND(INDIRECT("L"&amp;(T124+70))="X",INDIRECT("L"&amp;(U124+70))="X",INDIRECT("L"&amp;(V124+70))="X"),1,0)+IF(AND(INDIRECT("M"&amp;(T124+70))="X",INDIRECT("M"&amp;(U124+70))="X",INDIRECT("M"&amp;(V124+70))="X"),1,0)+IF(AND(INDIRECT("N"&amp;(T124+70))="X",INDIRECT("N"&amp;(U124+70))="X",INDIRECT("N"&amp;(V124+70))="X"),1,0)+IF(AND(INDIRECT("O"&amp;(T124+70))="X",INDIRECT("O"&amp;(U124+70))="X",INDIRECT("O"&amp;(V124+70))="X"),1,0)+IF(AND(INDIRECT("P"&amp;(T124+70))="X",INDIRECT("P"&amp;(U124+70))="X",INDIRECT("P"&amp;(V124+70))="X"),1,0)+IF(AND(INDIRECT("Q"&amp;(T124+70))="X",INDIRECT("Q"&amp;(U124+70))="X",INDIRECT("Q"&amp;(V124+70))="X"),1,0)</f>
        <v>0</v>
      </c>
    </row>
    <row r="125" spans="20:23" x14ac:dyDescent="0.3">
      <c r="T125">
        <v>1</v>
      </c>
      <c r="U125">
        <v>10</v>
      </c>
      <c r="V125">
        <v>13</v>
      </c>
      <c r="W125" cm="1">
        <f t="array" aca="1" ref="W125" ca="1">IF(AND(INDIRECT("B"&amp;(T125+70))="X",INDIRECT("B"&amp;(U125+70))="X",INDIRECT("B"&amp;(V125+70))="X"),1,0)+IF(AND(INDIRECT("C"&amp;(T125+70))="X",INDIRECT("C"&amp;(U125+70))="X",INDIRECT("C"&amp;(V125+70))="X"),1,0)+IF(AND(INDIRECT("D"&amp;(T125+70))="X",INDIRECT("D"&amp;(U125+70))="X",INDIRECT("D"&amp;(V125+70))="X"),1,0)+IF(AND(INDIRECT("E"&amp;(T125+70))="X",INDIRECT("E"&amp;(U125+70))="X",INDIRECT("E"&amp;(V125+70))="X"),1,0)+IF(AND(INDIRECT("F"&amp;(T125+70))="X",INDIRECT("F"&amp;(U125+70))="X",INDIRECT("F"&amp;(V125+70))="X"),1,0)+IF(AND(INDIRECT("G"&amp;(T125+70))="X",INDIRECT("G"&amp;(U125+70))="X",INDIRECT("G"&amp;(V125+70))="X"),1,0)+IF(AND(INDIRECT("H"&amp;(T125+70))="X",INDIRECT("H"&amp;(U125+70))="X",INDIRECT("H"&amp;(V125+70))="X"),1,0)+IF(AND(INDIRECT("I"&amp;(T125+70))="X",INDIRECT("I"&amp;(U125+70))="X",INDIRECT("I"&amp;(V125+70))="X"),1,0)+IF(AND(INDIRECT("J"&amp;(T125+70))="X",INDIRECT("J"&amp;(U125+70))="X",INDIRECT("J"&amp;(V125+70))="X"),1,0)+IF(AND(INDIRECT("K"&amp;(T125+70))="X",INDIRECT("K"&amp;(U125+70))="X",INDIRECT("K"&amp;(V125+70))="X"),1,0)+IF(AND(INDIRECT("L"&amp;(T125+70))="X",INDIRECT("L"&amp;(U125+70))="X",INDIRECT("L"&amp;(V125+70))="X"),1,0)+IF(AND(INDIRECT("M"&amp;(T125+70))="X",INDIRECT("M"&amp;(U125+70))="X",INDIRECT("M"&amp;(V125+70))="X"),1,0)+IF(AND(INDIRECT("N"&amp;(T125+70))="X",INDIRECT("N"&amp;(U125+70))="X",INDIRECT("N"&amp;(V125+70))="X"),1,0)+IF(AND(INDIRECT("O"&amp;(T125+70))="X",INDIRECT("O"&amp;(U125+70))="X",INDIRECT("O"&amp;(V125+70))="X"),1,0)+IF(AND(INDIRECT("P"&amp;(T125+70))="X",INDIRECT("P"&amp;(U125+70))="X",INDIRECT("P"&amp;(V125+70))="X"),1,0)+IF(AND(INDIRECT("Q"&amp;(T125+70))="X",INDIRECT("Q"&amp;(U125+70))="X",INDIRECT("Q"&amp;(V125+70))="X"),1,0)</f>
        <v>1</v>
      </c>
    </row>
    <row r="126" spans="20:23" x14ac:dyDescent="0.3">
      <c r="T126">
        <v>1</v>
      </c>
      <c r="U126">
        <v>10</v>
      </c>
      <c r="V126">
        <v>14</v>
      </c>
      <c r="W126" cm="1">
        <f t="array" aca="1" ref="W126" ca="1">IF(AND(INDIRECT("B"&amp;(T126+70))="X",INDIRECT("B"&amp;(U126+70))="X",INDIRECT("B"&amp;(V126+70))="X"),1,0)+IF(AND(INDIRECT("C"&amp;(T126+70))="X",INDIRECT("C"&amp;(U126+70))="X",INDIRECT("C"&amp;(V126+70))="X"),1,0)+IF(AND(INDIRECT("D"&amp;(T126+70))="X",INDIRECT("D"&amp;(U126+70))="X",INDIRECT("D"&amp;(V126+70))="X"),1,0)+IF(AND(INDIRECT("E"&amp;(T126+70))="X",INDIRECT("E"&amp;(U126+70))="X",INDIRECT("E"&amp;(V126+70))="X"),1,0)+IF(AND(INDIRECT("F"&amp;(T126+70))="X",INDIRECT("F"&amp;(U126+70))="X",INDIRECT("F"&amp;(V126+70))="X"),1,0)+IF(AND(INDIRECT("G"&amp;(T126+70))="X",INDIRECT("G"&amp;(U126+70))="X",INDIRECT("G"&amp;(V126+70))="X"),1,0)+IF(AND(INDIRECT("H"&amp;(T126+70))="X",INDIRECT("H"&amp;(U126+70))="X",INDIRECT("H"&amp;(V126+70))="X"),1,0)+IF(AND(INDIRECT("I"&amp;(T126+70))="X",INDIRECT("I"&amp;(U126+70))="X",INDIRECT("I"&amp;(V126+70))="X"),1,0)+IF(AND(INDIRECT("J"&amp;(T126+70))="X",INDIRECT("J"&amp;(U126+70))="X",INDIRECT("J"&amp;(V126+70))="X"),1,0)+IF(AND(INDIRECT("K"&amp;(T126+70))="X",INDIRECT("K"&amp;(U126+70))="X",INDIRECT("K"&amp;(V126+70))="X"),1,0)+IF(AND(INDIRECT("L"&amp;(T126+70))="X",INDIRECT("L"&amp;(U126+70))="X",INDIRECT("L"&amp;(V126+70))="X"),1,0)+IF(AND(INDIRECT("M"&amp;(T126+70))="X",INDIRECT("M"&amp;(U126+70))="X",INDIRECT("M"&amp;(V126+70))="X"),1,0)+IF(AND(INDIRECT("N"&amp;(T126+70))="X",INDIRECT("N"&amp;(U126+70))="X",INDIRECT("N"&amp;(V126+70))="X"),1,0)+IF(AND(INDIRECT("O"&amp;(T126+70))="X",INDIRECT("O"&amp;(U126+70))="X",INDIRECT("O"&amp;(V126+70))="X"),1,0)+IF(AND(INDIRECT("P"&amp;(T126+70))="X",INDIRECT("P"&amp;(U126+70))="X",INDIRECT("P"&amp;(V126+70))="X"),1,0)+IF(AND(INDIRECT("Q"&amp;(T126+70))="X",INDIRECT("Q"&amp;(U126+70))="X",INDIRECT("Q"&amp;(V126+70))="X"),1,0)</f>
        <v>1</v>
      </c>
    </row>
    <row r="127" spans="20:23" x14ac:dyDescent="0.3">
      <c r="T127">
        <v>1</v>
      </c>
      <c r="U127">
        <v>11</v>
      </c>
      <c r="V127">
        <v>12</v>
      </c>
      <c r="W127" cm="1">
        <f t="array" aca="1" ref="W127" ca="1">IF(AND(INDIRECT("B"&amp;(T127+70))="X",INDIRECT("B"&amp;(U127+70))="X",INDIRECT("B"&amp;(V127+70))="X"),1,0)+IF(AND(INDIRECT("C"&amp;(T127+70))="X",INDIRECT("C"&amp;(U127+70))="X",INDIRECT("C"&amp;(V127+70))="X"),1,0)+IF(AND(INDIRECT("D"&amp;(T127+70))="X",INDIRECT("D"&amp;(U127+70))="X",INDIRECT("D"&amp;(V127+70))="X"),1,0)+IF(AND(INDIRECT("E"&amp;(T127+70))="X",INDIRECT("E"&amp;(U127+70))="X",INDIRECT("E"&amp;(V127+70))="X"),1,0)+IF(AND(INDIRECT("F"&amp;(T127+70))="X",INDIRECT("F"&amp;(U127+70))="X",INDIRECT("F"&amp;(V127+70))="X"),1,0)+IF(AND(INDIRECT("G"&amp;(T127+70))="X",INDIRECT("G"&amp;(U127+70))="X",INDIRECT("G"&amp;(V127+70))="X"),1,0)+IF(AND(INDIRECT("H"&amp;(T127+70))="X",INDIRECT("H"&amp;(U127+70))="X",INDIRECT("H"&amp;(V127+70))="X"),1,0)+IF(AND(INDIRECT("I"&amp;(T127+70))="X",INDIRECT("I"&amp;(U127+70))="X",INDIRECT("I"&amp;(V127+70))="X"),1,0)+IF(AND(INDIRECT("J"&amp;(T127+70))="X",INDIRECT("J"&amp;(U127+70))="X",INDIRECT("J"&amp;(V127+70))="X"),1,0)+IF(AND(INDIRECT("K"&amp;(T127+70))="X",INDIRECT("K"&amp;(U127+70))="X",INDIRECT("K"&amp;(V127+70))="X"),1,0)+IF(AND(INDIRECT("L"&amp;(T127+70))="X",INDIRECT("L"&amp;(U127+70))="X",INDIRECT("L"&amp;(V127+70))="X"),1,0)+IF(AND(INDIRECT("M"&amp;(T127+70))="X",INDIRECT("M"&amp;(U127+70))="X",INDIRECT("M"&amp;(V127+70))="X"),1,0)+IF(AND(INDIRECT("N"&amp;(T127+70))="X",INDIRECT("N"&amp;(U127+70))="X",INDIRECT("N"&amp;(V127+70))="X"),1,0)+IF(AND(INDIRECT("O"&amp;(T127+70))="X",INDIRECT("O"&amp;(U127+70))="X",INDIRECT("O"&amp;(V127+70))="X"),1,0)+IF(AND(INDIRECT("P"&amp;(T127+70))="X",INDIRECT("P"&amp;(U127+70))="X",INDIRECT("P"&amp;(V127+70))="X"),1,0)+IF(AND(INDIRECT("Q"&amp;(T127+70))="X",INDIRECT("Q"&amp;(U127+70))="X",INDIRECT("Q"&amp;(V127+70))="X"),1,0)</f>
        <v>1</v>
      </c>
    </row>
    <row r="128" spans="20:23" x14ac:dyDescent="0.3">
      <c r="T128">
        <v>1</v>
      </c>
      <c r="U128">
        <v>11</v>
      </c>
      <c r="V128">
        <v>13</v>
      </c>
      <c r="W128" cm="1">
        <f t="array" aca="1" ref="W128" ca="1">IF(AND(INDIRECT("B"&amp;(T128+70))="X",INDIRECT("B"&amp;(U128+70))="X",INDIRECT("B"&amp;(V128+70))="X"),1,0)+IF(AND(INDIRECT("C"&amp;(T128+70))="X",INDIRECT("C"&amp;(U128+70))="X",INDIRECT("C"&amp;(V128+70))="X"),1,0)+IF(AND(INDIRECT("D"&amp;(T128+70))="X",INDIRECT("D"&amp;(U128+70))="X",INDIRECT("D"&amp;(V128+70))="X"),1,0)+IF(AND(INDIRECT("E"&amp;(T128+70))="X",INDIRECT("E"&amp;(U128+70))="X",INDIRECT("E"&amp;(V128+70))="X"),1,0)+IF(AND(INDIRECT("F"&amp;(T128+70))="X",INDIRECT("F"&amp;(U128+70))="X",INDIRECT("F"&amp;(V128+70))="X"),1,0)+IF(AND(INDIRECT("G"&amp;(T128+70))="X",INDIRECT("G"&amp;(U128+70))="X",INDIRECT("G"&amp;(V128+70))="X"),1,0)+IF(AND(INDIRECT("H"&amp;(T128+70))="X",INDIRECT("H"&amp;(U128+70))="X",INDIRECT("H"&amp;(V128+70))="X"),1,0)+IF(AND(INDIRECT("I"&amp;(T128+70))="X",INDIRECT("I"&amp;(U128+70))="X",INDIRECT("I"&amp;(V128+70))="X"),1,0)+IF(AND(INDIRECT("J"&amp;(T128+70))="X",INDIRECT("J"&amp;(U128+70))="X",INDIRECT("J"&amp;(V128+70))="X"),1,0)+IF(AND(INDIRECT("K"&amp;(T128+70))="X",INDIRECT("K"&amp;(U128+70))="X",INDIRECT("K"&amp;(V128+70))="X"),1,0)+IF(AND(INDIRECT("L"&amp;(T128+70))="X",INDIRECT("L"&amp;(U128+70))="X",INDIRECT("L"&amp;(V128+70))="X"),1,0)+IF(AND(INDIRECT("M"&amp;(T128+70))="X",INDIRECT("M"&amp;(U128+70))="X",INDIRECT("M"&amp;(V128+70))="X"),1,0)+IF(AND(INDIRECT("N"&amp;(T128+70))="X",INDIRECT("N"&amp;(U128+70))="X",INDIRECT("N"&amp;(V128+70))="X"),1,0)+IF(AND(INDIRECT("O"&amp;(T128+70))="X",INDIRECT("O"&amp;(U128+70))="X",INDIRECT("O"&amp;(V128+70))="X"),1,0)+IF(AND(INDIRECT("P"&amp;(T128+70))="X",INDIRECT("P"&amp;(U128+70))="X",INDIRECT("P"&amp;(V128+70))="X"),1,0)+IF(AND(INDIRECT("Q"&amp;(T128+70))="X",INDIRECT("Q"&amp;(U128+70))="X",INDIRECT("Q"&amp;(V128+70))="X"),1,0)</f>
        <v>2</v>
      </c>
    </row>
    <row r="129" spans="20:23" x14ac:dyDescent="0.3">
      <c r="T129">
        <v>1</v>
      </c>
      <c r="U129">
        <v>11</v>
      </c>
      <c r="V129">
        <v>14</v>
      </c>
      <c r="W129" cm="1">
        <f t="array" aca="1" ref="W129" ca="1">IF(AND(INDIRECT("B"&amp;(T129+70))="X",INDIRECT("B"&amp;(U129+70))="X",INDIRECT("B"&amp;(V129+70))="X"),1,0)+IF(AND(INDIRECT("C"&amp;(T129+70))="X",INDIRECT("C"&amp;(U129+70))="X",INDIRECT("C"&amp;(V129+70))="X"),1,0)+IF(AND(INDIRECT("D"&amp;(T129+70))="X",INDIRECT("D"&amp;(U129+70))="X",INDIRECT("D"&amp;(V129+70))="X"),1,0)+IF(AND(INDIRECT("E"&amp;(T129+70))="X",INDIRECT("E"&amp;(U129+70))="X",INDIRECT("E"&amp;(V129+70))="X"),1,0)+IF(AND(INDIRECT("F"&amp;(T129+70))="X",INDIRECT("F"&amp;(U129+70))="X",INDIRECT("F"&amp;(V129+70))="X"),1,0)+IF(AND(INDIRECT("G"&amp;(T129+70))="X",INDIRECT("G"&amp;(U129+70))="X",INDIRECT("G"&amp;(V129+70))="X"),1,0)+IF(AND(INDIRECT("H"&amp;(T129+70))="X",INDIRECT("H"&amp;(U129+70))="X",INDIRECT("H"&amp;(V129+70))="X"),1,0)+IF(AND(INDIRECT("I"&amp;(T129+70))="X",INDIRECT("I"&amp;(U129+70))="X",INDIRECT("I"&amp;(V129+70))="X"),1,0)+IF(AND(INDIRECT("J"&amp;(T129+70))="X",INDIRECT("J"&amp;(U129+70))="X",INDIRECT("J"&amp;(V129+70))="X"),1,0)+IF(AND(INDIRECT("K"&amp;(T129+70))="X",INDIRECT("K"&amp;(U129+70))="X",INDIRECT("K"&amp;(V129+70))="X"),1,0)+IF(AND(INDIRECT("L"&amp;(T129+70))="X",INDIRECT("L"&amp;(U129+70))="X",INDIRECT("L"&amp;(V129+70))="X"),1,0)+IF(AND(INDIRECT("M"&amp;(T129+70))="X",INDIRECT("M"&amp;(U129+70))="X",INDIRECT("M"&amp;(V129+70))="X"),1,0)+IF(AND(INDIRECT("N"&amp;(T129+70))="X",INDIRECT("N"&amp;(U129+70))="X",INDIRECT("N"&amp;(V129+70))="X"),1,0)+IF(AND(INDIRECT("O"&amp;(T129+70))="X",INDIRECT("O"&amp;(U129+70))="X",INDIRECT("O"&amp;(V129+70))="X"),1,0)+IF(AND(INDIRECT("P"&amp;(T129+70))="X",INDIRECT("P"&amp;(U129+70))="X",INDIRECT("P"&amp;(V129+70))="X"),1,0)+IF(AND(INDIRECT("Q"&amp;(T129+70))="X",INDIRECT("Q"&amp;(U129+70))="X",INDIRECT("Q"&amp;(V129+70))="X"),1,0)</f>
        <v>0</v>
      </c>
    </row>
    <row r="130" spans="20:23" x14ac:dyDescent="0.3">
      <c r="T130">
        <v>1</v>
      </c>
      <c r="U130">
        <v>12</v>
      </c>
      <c r="V130">
        <v>13</v>
      </c>
      <c r="W130" cm="1">
        <f t="array" aca="1" ref="W130" ca="1">IF(AND(INDIRECT("B"&amp;(T130+70))="X",INDIRECT("B"&amp;(U130+70))="X",INDIRECT("B"&amp;(V130+70))="X"),1,0)+IF(AND(INDIRECT("C"&amp;(T130+70))="X",INDIRECT("C"&amp;(U130+70))="X",INDIRECT("C"&amp;(V130+70))="X"),1,0)+IF(AND(INDIRECT("D"&amp;(T130+70))="X",INDIRECT("D"&amp;(U130+70))="X",INDIRECT("D"&amp;(V130+70))="X"),1,0)+IF(AND(INDIRECT("E"&amp;(T130+70))="X",INDIRECT("E"&amp;(U130+70))="X",INDIRECT("E"&amp;(V130+70))="X"),1,0)+IF(AND(INDIRECT("F"&amp;(T130+70))="X",INDIRECT("F"&amp;(U130+70))="X",INDIRECT("F"&amp;(V130+70))="X"),1,0)+IF(AND(INDIRECT("G"&amp;(T130+70))="X",INDIRECT("G"&amp;(U130+70))="X",INDIRECT("G"&amp;(V130+70))="X"),1,0)+IF(AND(INDIRECT("H"&amp;(T130+70))="X",INDIRECT("H"&amp;(U130+70))="X",INDIRECT("H"&amp;(V130+70))="X"),1,0)+IF(AND(INDIRECT("I"&amp;(T130+70))="X",INDIRECT("I"&amp;(U130+70))="X",INDIRECT("I"&amp;(V130+70))="X"),1,0)+IF(AND(INDIRECT("J"&amp;(T130+70))="X",INDIRECT("J"&amp;(U130+70))="X",INDIRECT("J"&amp;(V130+70))="X"),1,0)+IF(AND(INDIRECT("K"&amp;(T130+70))="X",INDIRECT("K"&amp;(U130+70))="X",INDIRECT("K"&amp;(V130+70))="X"),1,0)+IF(AND(INDIRECT("L"&amp;(T130+70))="X",INDIRECT("L"&amp;(U130+70))="X",INDIRECT("L"&amp;(V130+70))="X"),1,0)+IF(AND(INDIRECT("M"&amp;(T130+70))="X",INDIRECT("M"&amp;(U130+70))="X",INDIRECT("M"&amp;(V130+70))="X"),1,0)+IF(AND(INDIRECT("N"&amp;(T130+70))="X",INDIRECT("N"&amp;(U130+70))="X",INDIRECT("N"&amp;(V130+70))="X"),1,0)+IF(AND(INDIRECT("O"&amp;(T130+70))="X",INDIRECT("O"&amp;(U130+70))="X",INDIRECT("O"&amp;(V130+70))="X"),1,0)+IF(AND(INDIRECT("P"&amp;(T130+70))="X",INDIRECT("P"&amp;(U130+70))="X",INDIRECT("P"&amp;(V130+70))="X"),1,0)+IF(AND(INDIRECT("Q"&amp;(T130+70))="X",INDIRECT("Q"&amp;(U130+70))="X",INDIRECT("Q"&amp;(V130+70))="X"),1,0)</f>
        <v>2</v>
      </c>
    </row>
    <row r="131" spans="20:23" x14ac:dyDescent="0.3">
      <c r="T131">
        <v>1</v>
      </c>
      <c r="U131">
        <v>12</v>
      </c>
      <c r="V131">
        <v>14</v>
      </c>
      <c r="W131" cm="1">
        <f t="array" aca="1" ref="W131" ca="1">IF(AND(INDIRECT("B"&amp;(T131+70))="X",INDIRECT("B"&amp;(U131+70))="X",INDIRECT("B"&amp;(V131+70))="X"),1,0)+IF(AND(INDIRECT("C"&amp;(T131+70))="X",INDIRECT("C"&amp;(U131+70))="X",INDIRECT("C"&amp;(V131+70))="X"),1,0)+IF(AND(INDIRECT("D"&amp;(T131+70))="X",INDIRECT("D"&amp;(U131+70))="X",INDIRECT("D"&amp;(V131+70))="X"),1,0)+IF(AND(INDIRECT("E"&amp;(T131+70))="X",INDIRECT("E"&amp;(U131+70))="X",INDIRECT("E"&amp;(V131+70))="X"),1,0)+IF(AND(INDIRECT("F"&amp;(T131+70))="X",INDIRECT("F"&amp;(U131+70))="X",INDIRECT("F"&amp;(V131+70))="X"),1,0)+IF(AND(INDIRECT("G"&amp;(T131+70))="X",INDIRECT("G"&amp;(U131+70))="X",INDIRECT("G"&amp;(V131+70))="X"),1,0)+IF(AND(INDIRECT("H"&amp;(T131+70))="X",INDIRECT("H"&amp;(U131+70))="X",INDIRECT("H"&amp;(V131+70))="X"),1,0)+IF(AND(INDIRECT("I"&amp;(T131+70))="X",INDIRECT("I"&amp;(U131+70))="X",INDIRECT("I"&amp;(V131+70))="X"),1,0)+IF(AND(INDIRECT("J"&amp;(T131+70))="X",INDIRECT("J"&amp;(U131+70))="X",INDIRECT("J"&amp;(V131+70))="X"),1,0)+IF(AND(INDIRECT("K"&amp;(T131+70))="X",INDIRECT("K"&amp;(U131+70))="X",INDIRECT("K"&amp;(V131+70))="X"),1,0)+IF(AND(INDIRECT("L"&amp;(T131+70))="X",INDIRECT("L"&amp;(U131+70))="X",INDIRECT("L"&amp;(V131+70))="X"),1,0)+IF(AND(INDIRECT("M"&amp;(T131+70))="X",INDIRECT("M"&amp;(U131+70))="X",INDIRECT("M"&amp;(V131+70))="X"),1,0)+IF(AND(INDIRECT("N"&amp;(T131+70))="X",INDIRECT("N"&amp;(U131+70))="X",INDIRECT("N"&amp;(V131+70))="X"),1,0)+IF(AND(INDIRECT("O"&amp;(T131+70))="X",INDIRECT("O"&amp;(U131+70))="X",INDIRECT("O"&amp;(V131+70))="X"),1,0)+IF(AND(INDIRECT("P"&amp;(T131+70))="X",INDIRECT("P"&amp;(U131+70))="X",INDIRECT("P"&amp;(V131+70))="X"),1,0)+IF(AND(INDIRECT("Q"&amp;(T131+70))="X",INDIRECT("Q"&amp;(U131+70))="X",INDIRECT("Q"&amp;(V131+70))="X"),1,0)</f>
        <v>0</v>
      </c>
    </row>
    <row r="132" spans="20:23" x14ac:dyDescent="0.3">
      <c r="T132">
        <v>1</v>
      </c>
      <c r="U132">
        <v>13</v>
      </c>
      <c r="V132">
        <v>14</v>
      </c>
      <c r="W132" cm="1">
        <f t="array" aca="1" ref="W132" ca="1">IF(AND(INDIRECT("B"&amp;(T132+70))="X",INDIRECT("B"&amp;(U132+70))="X",INDIRECT("B"&amp;(V132+70))="X"),1,0)+IF(AND(INDIRECT("C"&amp;(T132+70))="X",INDIRECT("C"&amp;(U132+70))="X",INDIRECT("C"&amp;(V132+70))="X"),1,0)+IF(AND(INDIRECT("D"&amp;(T132+70))="X",INDIRECT("D"&amp;(U132+70))="X",INDIRECT("D"&amp;(V132+70))="X"),1,0)+IF(AND(INDIRECT("E"&amp;(T132+70))="X",INDIRECT("E"&amp;(U132+70))="X",INDIRECT("E"&amp;(V132+70))="X"),1,0)+IF(AND(INDIRECT("F"&amp;(T132+70))="X",INDIRECT("F"&amp;(U132+70))="X",INDIRECT("F"&amp;(V132+70))="X"),1,0)+IF(AND(INDIRECT("G"&amp;(T132+70))="X",INDIRECT("G"&amp;(U132+70))="X",INDIRECT("G"&amp;(V132+70))="X"),1,0)+IF(AND(INDIRECT("H"&amp;(T132+70))="X",INDIRECT("H"&amp;(U132+70))="X",INDIRECT("H"&amp;(V132+70))="X"),1,0)+IF(AND(INDIRECT("I"&amp;(T132+70))="X",INDIRECT("I"&amp;(U132+70))="X",INDIRECT("I"&amp;(V132+70))="X"),1,0)+IF(AND(INDIRECT("J"&amp;(T132+70))="X",INDIRECT("J"&amp;(U132+70))="X",INDIRECT("J"&amp;(V132+70))="X"),1,0)+IF(AND(INDIRECT("K"&amp;(T132+70))="X",INDIRECT("K"&amp;(U132+70))="X",INDIRECT("K"&amp;(V132+70))="X"),1,0)+IF(AND(INDIRECT("L"&amp;(T132+70))="X",INDIRECT("L"&amp;(U132+70))="X",INDIRECT("L"&amp;(V132+70))="X"),1,0)+IF(AND(INDIRECT("M"&amp;(T132+70))="X",INDIRECT("M"&amp;(U132+70))="X",INDIRECT("M"&amp;(V132+70))="X"),1,0)+IF(AND(INDIRECT("N"&amp;(T132+70))="X",INDIRECT("N"&amp;(U132+70))="X",INDIRECT("N"&amp;(V132+70))="X"),1,0)+IF(AND(INDIRECT("O"&amp;(T132+70))="X",INDIRECT("O"&amp;(U132+70))="X",INDIRECT("O"&amp;(V132+70))="X"),1,0)+IF(AND(INDIRECT("P"&amp;(T132+70))="X",INDIRECT("P"&amp;(U132+70))="X",INDIRECT("P"&amp;(V132+70))="X"),1,0)+IF(AND(INDIRECT("Q"&amp;(T132+70))="X",INDIRECT("Q"&amp;(U132+70))="X",INDIRECT("Q"&amp;(V132+70))="X"),1,0)</f>
        <v>0</v>
      </c>
    </row>
    <row r="133" spans="20:23" x14ac:dyDescent="0.3">
      <c r="T133">
        <v>2</v>
      </c>
      <c r="U133">
        <v>3</v>
      </c>
      <c r="V133">
        <v>4</v>
      </c>
      <c r="W133" cm="1">
        <f t="array" aca="1" ref="W133" ca="1">IF(AND(INDIRECT("B"&amp;(T133+70))="X",INDIRECT("B"&amp;(U133+70))="X",INDIRECT("B"&amp;(V133+70))="X"),1,0)+IF(AND(INDIRECT("C"&amp;(T133+70))="X",INDIRECT("C"&amp;(U133+70))="X",INDIRECT("C"&amp;(V133+70))="X"),1,0)+IF(AND(INDIRECT("D"&amp;(T133+70))="X",INDIRECT("D"&amp;(U133+70))="X",INDIRECT("D"&amp;(V133+70))="X"),1,0)+IF(AND(INDIRECT("E"&amp;(T133+70))="X",INDIRECT("E"&amp;(U133+70))="X",INDIRECT("E"&amp;(V133+70))="X"),1,0)+IF(AND(INDIRECT("F"&amp;(T133+70))="X",INDIRECT("F"&amp;(U133+70))="X",INDIRECT("F"&amp;(V133+70))="X"),1,0)+IF(AND(INDIRECT("G"&amp;(T133+70))="X",INDIRECT("G"&amp;(U133+70))="X",INDIRECT("G"&amp;(V133+70))="X"),1,0)+IF(AND(INDIRECT("H"&amp;(T133+70))="X",INDIRECT("H"&amp;(U133+70))="X",INDIRECT("H"&amp;(V133+70))="X"),1,0)+IF(AND(INDIRECT("I"&amp;(T133+70))="X",INDIRECT("I"&amp;(U133+70))="X",INDIRECT("I"&amp;(V133+70))="X"),1,0)+IF(AND(INDIRECT("J"&amp;(T133+70))="X",INDIRECT("J"&amp;(U133+70))="X",INDIRECT("J"&amp;(V133+70))="X"),1,0)+IF(AND(INDIRECT("K"&amp;(T133+70))="X",INDIRECT("K"&amp;(U133+70))="X",INDIRECT("K"&amp;(V133+70))="X"),1,0)+IF(AND(INDIRECT("L"&amp;(T133+70))="X",INDIRECT("L"&amp;(U133+70))="X",INDIRECT("L"&amp;(V133+70))="X"),1,0)+IF(AND(INDIRECT("M"&amp;(T133+70))="X",INDIRECT("M"&amp;(U133+70))="X",INDIRECT("M"&amp;(V133+70))="X"),1,0)+IF(AND(INDIRECT("N"&amp;(T133+70))="X",INDIRECT("N"&amp;(U133+70))="X",INDIRECT("N"&amp;(V133+70))="X"),1,0)+IF(AND(INDIRECT("O"&amp;(T133+70))="X",INDIRECT("O"&amp;(U133+70))="X",INDIRECT("O"&amp;(V133+70))="X"),1,0)+IF(AND(INDIRECT("P"&amp;(T133+70))="X",INDIRECT("P"&amp;(U133+70))="X",INDIRECT("P"&amp;(V133+70))="X"),1,0)+IF(AND(INDIRECT("Q"&amp;(T133+70))="X",INDIRECT("Q"&amp;(U133+70))="X",INDIRECT("Q"&amp;(V133+70))="X"),1,0)</f>
        <v>0</v>
      </c>
    </row>
    <row r="134" spans="20:23" x14ac:dyDescent="0.3">
      <c r="T134">
        <v>2</v>
      </c>
      <c r="U134">
        <v>3</v>
      </c>
      <c r="V134">
        <v>5</v>
      </c>
      <c r="W134" cm="1">
        <f t="array" aca="1" ref="W134" ca="1">IF(AND(INDIRECT("B"&amp;(T134+70))="X",INDIRECT("B"&amp;(U134+70))="X",INDIRECT("B"&amp;(V134+70))="X"),1,0)+IF(AND(INDIRECT("C"&amp;(T134+70))="X",INDIRECT("C"&amp;(U134+70))="X",INDIRECT("C"&amp;(V134+70))="X"),1,0)+IF(AND(INDIRECT("D"&amp;(T134+70))="X",INDIRECT("D"&amp;(U134+70))="X",INDIRECT("D"&amp;(V134+70))="X"),1,0)+IF(AND(INDIRECT("E"&amp;(T134+70))="X",INDIRECT("E"&amp;(U134+70))="X",INDIRECT("E"&amp;(V134+70))="X"),1,0)+IF(AND(INDIRECT("F"&amp;(T134+70))="X",INDIRECT("F"&amp;(U134+70))="X",INDIRECT("F"&amp;(V134+70))="X"),1,0)+IF(AND(INDIRECT("G"&amp;(T134+70))="X",INDIRECT("G"&amp;(U134+70))="X",INDIRECT("G"&amp;(V134+70))="X"),1,0)+IF(AND(INDIRECT("H"&amp;(T134+70))="X",INDIRECT("H"&amp;(U134+70))="X",INDIRECT("H"&amp;(V134+70))="X"),1,0)+IF(AND(INDIRECT("I"&amp;(T134+70))="X",INDIRECT("I"&amp;(U134+70))="X",INDIRECT("I"&amp;(V134+70))="X"),1,0)+IF(AND(INDIRECT("J"&amp;(T134+70))="X",INDIRECT("J"&amp;(U134+70))="X",INDIRECT("J"&amp;(V134+70))="X"),1,0)+IF(AND(INDIRECT("K"&amp;(T134+70))="X",INDIRECT("K"&amp;(U134+70))="X",INDIRECT("K"&amp;(V134+70))="X"),1,0)+IF(AND(INDIRECT("L"&amp;(T134+70))="X",INDIRECT("L"&amp;(U134+70))="X",INDIRECT("L"&amp;(V134+70))="X"),1,0)+IF(AND(INDIRECT("M"&amp;(T134+70))="X",INDIRECT("M"&amp;(U134+70))="X",INDIRECT("M"&amp;(V134+70))="X"),1,0)+IF(AND(INDIRECT("N"&amp;(T134+70))="X",INDIRECT("N"&amp;(U134+70))="X",INDIRECT("N"&amp;(V134+70))="X"),1,0)+IF(AND(INDIRECT("O"&amp;(T134+70))="X",INDIRECT("O"&amp;(U134+70))="X",INDIRECT("O"&amp;(V134+70))="X"),1,0)+IF(AND(INDIRECT("P"&amp;(T134+70))="X",INDIRECT("P"&amp;(U134+70))="X",INDIRECT("P"&amp;(V134+70))="X"),1,0)+IF(AND(INDIRECT("Q"&amp;(T134+70))="X",INDIRECT("Q"&amp;(U134+70))="X",INDIRECT("Q"&amp;(V134+70))="X"),1,0)</f>
        <v>0</v>
      </c>
    </row>
    <row r="135" spans="20:23" x14ac:dyDescent="0.3">
      <c r="T135">
        <v>2</v>
      </c>
      <c r="U135">
        <v>3</v>
      </c>
      <c r="V135">
        <v>6</v>
      </c>
      <c r="W135" cm="1">
        <f t="array" aca="1" ref="W135" ca="1">IF(AND(INDIRECT("B"&amp;(T135+70))="X",INDIRECT("B"&amp;(U135+70))="X",INDIRECT("B"&amp;(V135+70))="X"),1,0)+IF(AND(INDIRECT("C"&amp;(T135+70))="X",INDIRECT("C"&amp;(U135+70))="X",INDIRECT("C"&amp;(V135+70))="X"),1,0)+IF(AND(INDIRECT("D"&amp;(T135+70))="X",INDIRECT("D"&amp;(U135+70))="X",INDIRECT("D"&amp;(V135+70))="X"),1,0)+IF(AND(INDIRECT("E"&amp;(T135+70))="X",INDIRECT("E"&amp;(U135+70))="X",INDIRECT("E"&amp;(V135+70))="X"),1,0)+IF(AND(INDIRECT("F"&amp;(T135+70))="X",INDIRECT("F"&amp;(U135+70))="X",INDIRECT("F"&amp;(V135+70))="X"),1,0)+IF(AND(INDIRECT("G"&amp;(T135+70))="X",INDIRECT("G"&amp;(U135+70))="X",INDIRECT("G"&amp;(V135+70))="X"),1,0)+IF(AND(INDIRECT("H"&amp;(T135+70))="X",INDIRECT("H"&amp;(U135+70))="X",INDIRECT("H"&amp;(V135+70))="X"),1,0)+IF(AND(INDIRECT("I"&amp;(T135+70))="X",INDIRECT("I"&amp;(U135+70))="X",INDIRECT("I"&amp;(V135+70))="X"),1,0)+IF(AND(INDIRECT("J"&amp;(T135+70))="X",INDIRECT("J"&amp;(U135+70))="X",INDIRECT("J"&amp;(V135+70))="X"),1,0)+IF(AND(INDIRECT("K"&amp;(T135+70))="X",INDIRECT("K"&amp;(U135+70))="X",INDIRECT("K"&amp;(V135+70))="X"),1,0)+IF(AND(INDIRECT("L"&amp;(T135+70))="X",INDIRECT("L"&amp;(U135+70))="X",INDIRECT("L"&amp;(V135+70))="X"),1,0)+IF(AND(INDIRECT("M"&amp;(T135+70))="X",INDIRECT("M"&amp;(U135+70))="X",INDIRECT("M"&amp;(V135+70))="X"),1,0)+IF(AND(INDIRECT("N"&amp;(T135+70))="X",INDIRECT("N"&amp;(U135+70))="X",INDIRECT("N"&amp;(V135+70))="X"),1,0)+IF(AND(INDIRECT("O"&amp;(T135+70))="X",INDIRECT("O"&amp;(U135+70))="X",INDIRECT("O"&amp;(V135+70))="X"),1,0)+IF(AND(INDIRECT("P"&amp;(T135+70))="X",INDIRECT("P"&amp;(U135+70))="X",INDIRECT("P"&amp;(V135+70))="X"),1,0)+IF(AND(INDIRECT("Q"&amp;(T135+70))="X",INDIRECT("Q"&amp;(U135+70))="X",INDIRECT("Q"&amp;(V135+70))="X"),1,0)</f>
        <v>0</v>
      </c>
    </row>
    <row r="136" spans="20:23" x14ac:dyDescent="0.3">
      <c r="T136">
        <v>2</v>
      </c>
      <c r="U136">
        <v>3</v>
      </c>
      <c r="V136">
        <v>7</v>
      </c>
      <c r="W136" cm="1">
        <f t="array" aca="1" ref="W136" ca="1">IF(AND(INDIRECT("B"&amp;(T136+70))="X",INDIRECT("B"&amp;(U136+70))="X",INDIRECT("B"&amp;(V136+70))="X"),1,0)+IF(AND(INDIRECT("C"&amp;(T136+70))="X",INDIRECT("C"&amp;(U136+70))="X",INDIRECT("C"&amp;(V136+70))="X"),1,0)+IF(AND(INDIRECT("D"&amp;(T136+70))="X",INDIRECT("D"&amp;(U136+70))="X",INDIRECT("D"&amp;(V136+70))="X"),1,0)+IF(AND(INDIRECT("E"&amp;(T136+70))="X",INDIRECT("E"&amp;(U136+70))="X",INDIRECT("E"&amp;(V136+70))="X"),1,0)+IF(AND(INDIRECT("F"&amp;(T136+70))="X",INDIRECT("F"&amp;(U136+70))="X",INDIRECT("F"&amp;(V136+70))="X"),1,0)+IF(AND(INDIRECT("G"&amp;(T136+70))="X",INDIRECT("G"&amp;(U136+70))="X",INDIRECT("G"&amp;(V136+70))="X"),1,0)+IF(AND(INDIRECT("H"&amp;(T136+70))="X",INDIRECT("H"&amp;(U136+70))="X",INDIRECT("H"&amp;(V136+70))="X"),1,0)+IF(AND(INDIRECT("I"&amp;(T136+70))="X",INDIRECT("I"&amp;(U136+70))="X",INDIRECT("I"&amp;(V136+70))="X"),1,0)+IF(AND(INDIRECT("J"&amp;(T136+70))="X",INDIRECT("J"&amp;(U136+70))="X",INDIRECT("J"&amp;(V136+70))="X"),1,0)+IF(AND(INDIRECT("K"&amp;(T136+70))="X",INDIRECT("K"&amp;(U136+70))="X",INDIRECT("K"&amp;(V136+70))="X"),1,0)+IF(AND(INDIRECT("L"&amp;(T136+70))="X",INDIRECT("L"&amp;(U136+70))="X",INDIRECT("L"&amp;(V136+70))="X"),1,0)+IF(AND(INDIRECT("M"&amp;(T136+70))="X",INDIRECT("M"&amp;(U136+70))="X",INDIRECT("M"&amp;(V136+70))="X"),1,0)+IF(AND(INDIRECT("N"&amp;(T136+70))="X",INDIRECT("N"&amp;(U136+70))="X",INDIRECT("N"&amp;(V136+70))="X"),1,0)+IF(AND(INDIRECT("O"&amp;(T136+70))="X",INDIRECT("O"&amp;(U136+70))="X",INDIRECT("O"&amp;(V136+70))="X"),1,0)+IF(AND(INDIRECT("P"&amp;(T136+70))="X",INDIRECT("P"&amp;(U136+70))="X",INDIRECT("P"&amp;(V136+70))="X"),1,0)+IF(AND(INDIRECT("Q"&amp;(T136+70))="X",INDIRECT("Q"&amp;(U136+70))="X",INDIRECT("Q"&amp;(V136+70))="X"),1,0)</f>
        <v>0</v>
      </c>
    </row>
    <row r="137" spans="20:23" x14ac:dyDescent="0.3">
      <c r="T137">
        <v>2</v>
      </c>
      <c r="U137">
        <v>3</v>
      </c>
      <c r="V137">
        <v>8</v>
      </c>
      <c r="W137" cm="1">
        <f t="array" aca="1" ref="W137" ca="1">IF(AND(INDIRECT("B"&amp;(T137+70))="X",INDIRECT("B"&amp;(U137+70))="X",INDIRECT("B"&amp;(V137+70))="X"),1,0)+IF(AND(INDIRECT("C"&amp;(T137+70))="X",INDIRECT("C"&amp;(U137+70))="X",INDIRECT("C"&amp;(V137+70))="X"),1,0)+IF(AND(INDIRECT("D"&amp;(T137+70))="X",INDIRECT("D"&amp;(U137+70))="X",INDIRECT("D"&amp;(V137+70))="X"),1,0)+IF(AND(INDIRECT("E"&amp;(T137+70))="X",INDIRECT("E"&amp;(U137+70))="X",INDIRECT("E"&amp;(V137+70))="X"),1,0)+IF(AND(INDIRECT("F"&amp;(T137+70))="X",INDIRECT("F"&amp;(U137+70))="X",INDIRECT("F"&amp;(V137+70))="X"),1,0)+IF(AND(INDIRECT("G"&amp;(T137+70))="X",INDIRECT("G"&amp;(U137+70))="X",INDIRECT("G"&amp;(V137+70))="X"),1,0)+IF(AND(INDIRECT("H"&amp;(T137+70))="X",INDIRECT("H"&amp;(U137+70))="X",INDIRECT("H"&amp;(V137+70))="X"),1,0)+IF(AND(INDIRECT("I"&amp;(T137+70))="X",INDIRECT("I"&amp;(U137+70))="X",INDIRECT("I"&amp;(V137+70))="X"),1,0)+IF(AND(INDIRECT("J"&amp;(T137+70))="X",INDIRECT("J"&amp;(U137+70))="X",INDIRECT("J"&amp;(V137+70))="X"),1,0)+IF(AND(INDIRECT("K"&amp;(T137+70))="X",INDIRECT("K"&amp;(U137+70))="X",INDIRECT("K"&amp;(V137+70))="X"),1,0)+IF(AND(INDIRECT("L"&amp;(T137+70))="X",INDIRECT("L"&amp;(U137+70))="X",INDIRECT("L"&amp;(V137+70))="X"),1,0)+IF(AND(INDIRECT("M"&amp;(T137+70))="X",INDIRECT("M"&amp;(U137+70))="X",INDIRECT("M"&amp;(V137+70))="X"),1,0)+IF(AND(INDIRECT("N"&amp;(T137+70))="X",INDIRECT("N"&amp;(U137+70))="X",INDIRECT("N"&amp;(V137+70))="X"),1,0)+IF(AND(INDIRECT("O"&amp;(T137+70))="X",INDIRECT("O"&amp;(U137+70))="X",INDIRECT("O"&amp;(V137+70))="X"),1,0)+IF(AND(INDIRECT("P"&amp;(T137+70))="X",INDIRECT("P"&amp;(U137+70))="X",INDIRECT("P"&amp;(V137+70))="X"),1,0)+IF(AND(INDIRECT("Q"&amp;(T137+70))="X",INDIRECT("Q"&amp;(U137+70))="X",INDIRECT("Q"&amp;(V137+70))="X"),1,0)</f>
        <v>0</v>
      </c>
    </row>
    <row r="138" spans="20:23" x14ac:dyDescent="0.3">
      <c r="T138">
        <v>2</v>
      </c>
      <c r="U138">
        <v>3</v>
      </c>
      <c r="V138">
        <v>9</v>
      </c>
      <c r="W138" cm="1">
        <f t="array" aca="1" ref="W138" ca="1">IF(AND(INDIRECT("B"&amp;(T138+70))="X",INDIRECT("B"&amp;(U138+70))="X",INDIRECT("B"&amp;(V138+70))="X"),1,0)+IF(AND(INDIRECT("C"&amp;(T138+70))="X",INDIRECT("C"&amp;(U138+70))="X",INDIRECT("C"&amp;(V138+70))="X"),1,0)+IF(AND(INDIRECT("D"&amp;(T138+70))="X",INDIRECT("D"&amp;(U138+70))="X",INDIRECT("D"&amp;(V138+70))="X"),1,0)+IF(AND(INDIRECT("E"&amp;(T138+70))="X",INDIRECT("E"&amp;(U138+70))="X",INDIRECT("E"&amp;(V138+70))="X"),1,0)+IF(AND(INDIRECT("F"&amp;(T138+70))="X",INDIRECT("F"&amp;(U138+70))="X",INDIRECT("F"&amp;(V138+70))="X"),1,0)+IF(AND(INDIRECT("G"&amp;(T138+70))="X",INDIRECT("G"&amp;(U138+70))="X",INDIRECT("G"&amp;(V138+70))="X"),1,0)+IF(AND(INDIRECT("H"&amp;(T138+70))="X",INDIRECT("H"&amp;(U138+70))="X",INDIRECT("H"&amp;(V138+70))="X"),1,0)+IF(AND(INDIRECT("I"&amp;(T138+70))="X",INDIRECT("I"&amp;(U138+70))="X",INDIRECT("I"&amp;(V138+70))="X"),1,0)+IF(AND(INDIRECT("J"&amp;(T138+70))="X",INDIRECT("J"&amp;(U138+70))="X",INDIRECT("J"&amp;(V138+70))="X"),1,0)+IF(AND(INDIRECT("K"&amp;(T138+70))="X",INDIRECT("K"&amp;(U138+70))="X",INDIRECT("K"&amp;(V138+70))="X"),1,0)+IF(AND(INDIRECT("L"&amp;(T138+70))="X",INDIRECT("L"&amp;(U138+70))="X",INDIRECT("L"&amp;(V138+70))="X"),1,0)+IF(AND(INDIRECT("M"&amp;(T138+70))="X",INDIRECT("M"&amp;(U138+70))="X",INDIRECT("M"&amp;(V138+70))="X"),1,0)+IF(AND(INDIRECT("N"&amp;(T138+70))="X",INDIRECT("N"&amp;(U138+70))="X",INDIRECT("N"&amp;(V138+70))="X"),1,0)+IF(AND(INDIRECT("O"&amp;(T138+70))="X",INDIRECT("O"&amp;(U138+70))="X",INDIRECT("O"&amp;(V138+70))="X"),1,0)+IF(AND(INDIRECT("P"&amp;(T138+70))="X",INDIRECT("P"&amp;(U138+70))="X",INDIRECT("P"&amp;(V138+70))="X"),1,0)+IF(AND(INDIRECT("Q"&amp;(T138+70))="X",INDIRECT("Q"&amp;(U138+70))="X",INDIRECT("Q"&amp;(V138+70))="X"),1,0)</f>
        <v>0</v>
      </c>
    </row>
    <row r="139" spans="20:23" x14ac:dyDescent="0.3">
      <c r="T139">
        <v>2</v>
      </c>
      <c r="U139">
        <v>3</v>
      </c>
      <c r="V139">
        <v>10</v>
      </c>
      <c r="W139" cm="1">
        <f t="array" aca="1" ref="W139" ca="1">IF(AND(INDIRECT("B"&amp;(T139+70))="X",INDIRECT("B"&amp;(U139+70))="X",INDIRECT("B"&amp;(V139+70))="X"),1,0)+IF(AND(INDIRECT("C"&amp;(T139+70))="X",INDIRECT("C"&amp;(U139+70))="X",INDIRECT("C"&amp;(V139+70))="X"),1,0)+IF(AND(INDIRECT("D"&amp;(T139+70))="X",INDIRECT("D"&amp;(U139+70))="X",INDIRECT("D"&amp;(V139+70))="X"),1,0)+IF(AND(INDIRECT("E"&amp;(T139+70))="X",INDIRECT("E"&amp;(U139+70))="X",INDIRECT("E"&amp;(V139+70))="X"),1,0)+IF(AND(INDIRECT("F"&amp;(T139+70))="X",INDIRECT("F"&amp;(U139+70))="X",INDIRECT("F"&amp;(V139+70))="X"),1,0)+IF(AND(INDIRECT("G"&amp;(T139+70))="X",INDIRECT("G"&amp;(U139+70))="X",INDIRECT("G"&amp;(V139+70))="X"),1,0)+IF(AND(INDIRECT("H"&amp;(T139+70))="X",INDIRECT("H"&amp;(U139+70))="X",INDIRECT("H"&amp;(V139+70))="X"),1,0)+IF(AND(INDIRECT("I"&amp;(T139+70))="X",INDIRECT("I"&amp;(U139+70))="X",INDIRECT("I"&amp;(V139+70))="X"),1,0)+IF(AND(INDIRECT("J"&amp;(T139+70))="X",INDIRECT("J"&amp;(U139+70))="X",INDIRECT("J"&amp;(V139+70))="X"),1,0)+IF(AND(INDIRECT("K"&amp;(T139+70))="X",INDIRECT("K"&amp;(U139+70))="X",INDIRECT("K"&amp;(V139+70))="X"),1,0)+IF(AND(INDIRECT("L"&amp;(T139+70))="X",INDIRECT("L"&amp;(U139+70))="X",INDIRECT("L"&amp;(V139+70))="X"),1,0)+IF(AND(INDIRECT("M"&amp;(T139+70))="X",INDIRECT("M"&amp;(U139+70))="X",INDIRECT("M"&amp;(V139+70))="X"),1,0)+IF(AND(INDIRECT("N"&amp;(T139+70))="X",INDIRECT("N"&amp;(U139+70))="X",INDIRECT("N"&amp;(V139+70))="X"),1,0)+IF(AND(INDIRECT("O"&amp;(T139+70))="X",INDIRECT("O"&amp;(U139+70))="X",INDIRECT("O"&amp;(V139+70))="X"),1,0)+IF(AND(INDIRECT("P"&amp;(T139+70))="X",INDIRECT("P"&amp;(U139+70))="X",INDIRECT("P"&amp;(V139+70))="X"),1,0)+IF(AND(INDIRECT("Q"&amp;(T139+70))="X",INDIRECT("Q"&amp;(U139+70))="X",INDIRECT("Q"&amp;(V139+70))="X"),1,0)</f>
        <v>0</v>
      </c>
    </row>
    <row r="140" spans="20:23" x14ac:dyDescent="0.3">
      <c r="T140">
        <v>2</v>
      </c>
      <c r="U140">
        <v>3</v>
      </c>
      <c r="V140">
        <v>11</v>
      </c>
      <c r="W140" cm="1">
        <f t="array" aca="1" ref="W140" ca="1">IF(AND(INDIRECT("B"&amp;(T140+70))="X",INDIRECT("B"&amp;(U140+70))="X",INDIRECT("B"&amp;(V140+70))="X"),1,0)+IF(AND(INDIRECT("C"&amp;(T140+70))="X",INDIRECT("C"&amp;(U140+70))="X",INDIRECT("C"&amp;(V140+70))="X"),1,0)+IF(AND(INDIRECT("D"&amp;(T140+70))="X",INDIRECT("D"&amp;(U140+70))="X",INDIRECT("D"&amp;(V140+70))="X"),1,0)+IF(AND(INDIRECT("E"&amp;(T140+70))="X",INDIRECT("E"&amp;(U140+70))="X",INDIRECT("E"&amp;(V140+70))="X"),1,0)+IF(AND(INDIRECT("F"&amp;(T140+70))="X",INDIRECT("F"&amp;(U140+70))="X",INDIRECT("F"&amp;(V140+70))="X"),1,0)+IF(AND(INDIRECT("G"&amp;(T140+70))="X",INDIRECT("G"&amp;(U140+70))="X",INDIRECT("G"&amp;(V140+70))="X"),1,0)+IF(AND(INDIRECT("H"&amp;(T140+70))="X",INDIRECT("H"&amp;(U140+70))="X",INDIRECT("H"&amp;(V140+70))="X"),1,0)+IF(AND(INDIRECT("I"&amp;(T140+70))="X",INDIRECT("I"&amp;(U140+70))="X",INDIRECT("I"&amp;(V140+70))="X"),1,0)+IF(AND(INDIRECT("J"&amp;(T140+70))="X",INDIRECT("J"&amp;(U140+70))="X",INDIRECT("J"&amp;(V140+70))="X"),1,0)+IF(AND(INDIRECT("K"&amp;(T140+70))="X",INDIRECT("K"&amp;(U140+70))="X",INDIRECT("K"&amp;(V140+70))="X"),1,0)+IF(AND(INDIRECT("L"&amp;(T140+70))="X",INDIRECT("L"&amp;(U140+70))="X",INDIRECT("L"&amp;(V140+70))="X"),1,0)+IF(AND(INDIRECT("M"&amp;(T140+70))="X",INDIRECT("M"&amp;(U140+70))="X",INDIRECT("M"&amp;(V140+70))="X"),1,0)+IF(AND(INDIRECT("N"&amp;(T140+70))="X",INDIRECT("N"&amp;(U140+70))="X",INDIRECT("N"&amp;(V140+70))="X"),1,0)+IF(AND(INDIRECT("O"&amp;(T140+70))="X",INDIRECT("O"&amp;(U140+70))="X",INDIRECT("O"&amp;(V140+70))="X"),1,0)+IF(AND(INDIRECT("P"&amp;(T140+70))="X",INDIRECT("P"&amp;(U140+70))="X",INDIRECT("P"&amp;(V140+70))="X"),1,0)+IF(AND(INDIRECT("Q"&amp;(T140+70))="X",INDIRECT("Q"&amp;(U140+70))="X",INDIRECT("Q"&amp;(V140+70))="X"),1,0)</f>
        <v>0</v>
      </c>
    </row>
    <row r="141" spans="20:23" x14ac:dyDescent="0.3">
      <c r="T141">
        <v>2</v>
      </c>
      <c r="U141">
        <v>3</v>
      </c>
      <c r="V141">
        <v>12</v>
      </c>
      <c r="W141" cm="1">
        <f t="array" aca="1" ref="W141" ca="1">IF(AND(INDIRECT("B"&amp;(T141+70))="X",INDIRECT("B"&amp;(U141+70))="X",INDIRECT("B"&amp;(V141+70))="X"),1,0)+IF(AND(INDIRECT("C"&amp;(T141+70))="X",INDIRECT("C"&amp;(U141+70))="X",INDIRECT("C"&amp;(V141+70))="X"),1,0)+IF(AND(INDIRECT("D"&amp;(T141+70))="X",INDIRECT("D"&amp;(U141+70))="X",INDIRECT("D"&amp;(V141+70))="X"),1,0)+IF(AND(INDIRECT("E"&amp;(T141+70))="X",INDIRECT("E"&amp;(U141+70))="X",INDIRECT("E"&amp;(V141+70))="X"),1,0)+IF(AND(INDIRECT("F"&amp;(T141+70))="X",INDIRECT("F"&amp;(U141+70))="X",INDIRECT("F"&amp;(V141+70))="X"),1,0)+IF(AND(INDIRECT("G"&amp;(T141+70))="X",INDIRECT("G"&amp;(U141+70))="X",INDIRECT("G"&amp;(V141+70))="X"),1,0)+IF(AND(INDIRECT("H"&amp;(T141+70))="X",INDIRECT("H"&amp;(U141+70))="X",INDIRECT("H"&amp;(V141+70))="X"),1,0)+IF(AND(INDIRECT("I"&amp;(T141+70))="X",INDIRECT("I"&amp;(U141+70))="X",INDIRECT("I"&amp;(V141+70))="X"),1,0)+IF(AND(INDIRECT("J"&amp;(T141+70))="X",INDIRECT("J"&amp;(U141+70))="X",INDIRECT("J"&amp;(V141+70))="X"),1,0)+IF(AND(INDIRECT("K"&amp;(T141+70))="X",INDIRECT("K"&amp;(U141+70))="X",INDIRECT("K"&amp;(V141+70))="X"),1,0)+IF(AND(INDIRECT("L"&amp;(T141+70))="X",INDIRECT("L"&amp;(U141+70))="X",INDIRECT("L"&amp;(V141+70))="X"),1,0)+IF(AND(INDIRECT("M"&amp;(T141+70))="X",INDIRECT("M"&amp;(U141+70))="X",INDIRECT("M"&amp;(V141+70))="X"),1,0)+IF(AND(INDIRECT("N"&amp;(T141+70))="X",INDIRECT("N"&amp;(U141+70))="X",INDIRECT("N"&amp;(V141+70))="X"),1,0)+IF(AND(INDIRECT("O"&amp;(T141+70))="X",INDIRECT("O"&amp;(U141+70))="X",INDIRECT("O"&amp;(V141+70))="X"),1,0)+IF(AND(INDIRECT("P"&amp;(T141+70))="X",INDIRECT("P"&amp;(U141+70))="X",INDIRECT("P"&amp;(V141+70))="X"),1,0)+IF(AND(INDIRECT("Q"&amp;(T141+70))="X",INDIRECT("Q"&amp;(U141+70))="X",INDIRECT("Q"&amp;(V141+70))="X"),1,0)</f>
        <v>0</v>
      </c>
    </row>
    <row r="142" spans="20:23" x14ac:dyDescent="0.3">
      <c r="T142">
        <v>2</v>
      </c>
      <c r="U142">
        <v>3</v>
      </c>
      <c r="V142">
        <v>13</v>
      </c>
      <c r="W142" cm="1">
        <f t="array" aca="1" ref="W142" ca="1">IF(AND(INDIRECT("B"&amp;(T142+70))="X",INDIRECT("B"&amp;(U142+70))="X",INDIRECT("B"&amp;(V142+70))="X"),1,0)+IF(AND(INDIRECT("C"&amp;(T142+70))="X",INDIRECT("C"&amp;(U142+70))="X",INDIRECT("C"&amp;(V142+70))="X"),1,0)+IF(AND(INDIRECT("D"&amp;(T142+70))="X",INDIRECT("D"&amp;(U142+70))="X",INDIRECT("D"&amp;(V142+70))="X"),1,0)+IF(AND(INDIRECT("E"&amp;(T142+70))="X",INDIRECT("E"&amp;(U142+70))="X",INDIRECT("E"&amp;(V142+70))="X"),1,0)+IF(AND(INDIRECT("F"&amp;(T142+70))="X",INDIRECT("F"&amp;(U142+70))="X",INDIRECT("F"&amp;(V142+70))="X"),1,0)+IF(AND(INDIRECT("G"&amp;(T142+70))="X",INDIRECT("G"&amp;(U142+70))="X",INDIRECT("G"&amp;(V142+70))="X"),1,0)+IF(AND(INDIRECT("H"&amp;(T142+70))="X",INDIRECT("H"&amp;(U142+70))="X",INDIRECT("H"&amp;(V142+70))="X"),1,0)+IF(AND(INDIRECT("I"&amp;(T142+70))="X",INDIRECT("I"&amp;(U142+70))="X",INDIRECT("I"&amp;(V142+70))="X"),1,0)+IF(AND(INDIRECT("J"&amp;(T142+70))="X",INDIRECT("J"&amp;(U142+70))="X",INDIRECT("J"&amp;(V142+70))="X"),1,0)+IF(AND(INDIRECT("K"&amp;(T142+70))="X",INDIRECT("K"&amp;(U142+70))="X",INDIRECT("K"&amp;(V142+70))="X"),1,0)+IF(AND(INDIRECT("L"&amp;(T142+70))="X",INDIRECT("L"&amp;(U142+70))="X",INDIRECT("L"&amp;(V142+70))="X"),1,0)+IF(AND(INDIRECT("M"&amp;(T142+70))="X",INDIRECT("M"&amp;(U142+70))="X",INDIRECT("M"&amp;(V142+70))="X"),1,0)+IF(AND(INDIRECT("N"&amp;(T142+70))="X",INDIRECT("N"&amp;(U142+70))="X",INDIRECT("N"&amp;(V142+70))="X"),1,0)+IF(AND(INDIRECT("O"&amp;(T142+70))="X",INDIRECT("O"&amp;(U142+70))="X",INDIRECT("O"&amp;(V142+70))="X"),1,0)+IF(AND(INDIRECT("P"&amp;(T142+70))="X",INDIRECT("P"&amp;(U142+70))="X",INDIRECT("P"&amp;(V142+70))="X"),1,0)+IF(AND(INDIRECT("Q"&amp;(T142+70))="X",INDIRECT("Q"&amp;(U142+70))="X",INDIRECT("Q"&amp;(V142+70))="X"),1,0)</f>
        <v>0</v>
      </c>
    </row>
    <row r="143" spans="20:23" x14ac:dyDescent="0.3">
      <c r="T143">
        <v>2</v>
      </c>
      <c r="U143">
        <v>3</v>
      </c>
      <c r="V143">
        <v>14</v>
      </c>
      <c r="W143" cm="1">
        <f t="array" aca="1" ref="W143" ca="1">IF(AND(INDIRECT("B"&amp;(T143+70))="X",INDIRECT("B"&amp;(U143+70))="X",INDIRECT("B"&amp;(V143+70))="X"),1,0)+IF(AND(INDIRECT("C"&amp;(T143+70))="X",INDIRECT("C"&amp;(U143+70))="X",INDIRECT("C"&amp;(V143+70))="X"),1,0)+IF(AND(INDIRECT("D"&amp;(T143+70))="X",INDIRECT("D"&amp;(U143+70))="X",INDIRECT("D"&amp;(V143+70))="X"),1,0)+IF(AND(INDIRECT("E"&amp;(T143+70))="X",INDIRECT("E"&amp;(U143+70))="X",INDIRECT("E"&amp;(V143+70))="X"),1,0)+IF(AND(INDIRECT("F"&amp;(T143+70))="X",INDIRECT("F"&amp;(U143+70))="X",INDIRECT("F"&amp;(V143+70))="X"),1,0)+IF(AND(INDIRECT("G"&amp;(T143+70))="X",INDIRECT("G"&amp;(U143+70))="X",INDIRECT("G"&amp;(V143+70))="X"),1,0)+IF(AND(INDIRECT("H"&amp;(T143+70))="X",INDIRECT("H"&amp;(U143+70))="X",INDIRECT("H"&amp;(V143+70))="X"),1,0)+IF(AND(INDIRECT("I"&amp;(T143+70))="X",INDIRECT("I"&amp;(U143+70))="X",INDIRECT("I"&amp;(V143+70))="X"),1,0)+IF(AND(INDIRECT("J"&amp;(T143+70))="X",INDIRECT("J"&amp;(U143+70))="X",INDIRECT("J"&amp;(V143+70))="X"),1,0)+IF(AND(INDIRECT("K"&amp;(T143+70))="X",INDIRECT("K"&amp;(U143+70))="X",INDIRECT("K"&amp;(V143+70))="X"),1,0)+IF(AND(INDIRECT("L"&amp;(T143+70))="X",INDIRECT("L"&amp;(U143+70))="X",INDIRECT("L"&amp;(V143+70))="X"),1,0)+IF(AND(INDIRECT("M"&amp;(T143+70))="X",INDIRECT("M"&amp;(U143+70))="X",INDIRECT("M"&amp;(V143+70))="X"),1,0)+IF(AND(INDIRECT("N"&amp;(T143+70))="X",INDIRECT("N"&amp;(U143+70))="X",INDIRECT("N"&amp;(V143+70))="X"),1,0)+IF(AND(INDIRECT("O"&amp;(T143+70))="X",INDIRECT("O"&amp;(U143+70))="X",INDIRECT("O"&amp;(V143+70))="X"),1,0)+IF(AND(INDIRECT("P"&amp;(T143+70))="X",INDIRECT("P"&amp;(U143+70))="X",INDIRECT("P"&amp;(V143+70))="X"),1,0)+IF(AND(INDIRECT("Q"&amp;(T143+70))="X",INDIRECT("Q"&amp;(U143+70))="X",INDIRECT("Q"&amp;(V143+70))="X"),1,0)</f>
        <v>0</v>
      </c>
    </row>
    <row r="144" spans="20:23" x14ac:dyDescent="0.3">
      <c r="T144">
        <v>2</v>
      </c>
      <c r="U144">
        <v>4</v>
      </c>
      <c r="V144">
        <v>5</v>
      </c>
      <c r="W144" cm="1">
        <f t="array" aca="1" ref="W144" ca="1">IF(AND(INDIRECT("B"&amp;(T144+70))="X",INDIRECT("B"&amp;(U144+70))="X",INDIRECT("B"&amp;(V144+70))="X"),1,0)+IF(AND(INDIRECT("C"&amp;(T144+70))="X",INDIRECT("C"&amp;(U144+70))="X",INDIRECT("C"&amp;(V144+70))="X"),1,0)+IF(AND(INDIRECT("D"&amp;(T144+70))="X",INDIRECT("D"&amp;(U144+70))="X",INDIRECT("D"&amp;(V144+70))="X"),1,0)+IF(AND(INDIRECT("E"&amp;(T144+70))="X",INDIRECT("E"&amp;(U144+70))="X",INDIRECT("E"&amp;(V144+70))="X"),1,0)+IF(AND(INDIRECT("F"&amp;(T144+70))="X",INDIRECT("F"&amp;(U144+70))="X",INDIRECT("F"&amp;(V144+70))="X"),1,0)+IF(AND(INDIRECT("G"&amp;(T144+70))="X",INDIRECT("G"&amp;(U144+70))="X",INDIRECT("G"&amp;(V144+70))="X"),1,0)+IF(AND(INDIRECT("H"&amp;(T144+70))="X",INDIRECT("H"&amp;(U144+70))="X",INDIRECT("H"&amp;(V144+70))="X"),1,0)+IF(AND(INDIRECT("I"&amp;(T144+70))="X",INDIRECT("I"&amp;(U144+70))="X",INDIRECT("I"&amp;(V144+70))="X"),1,0)+IF(AND(INDIRECT("J"&amp;(T144+70))="X",INDIRECT("J"&amp;(U144+70))="X",INDIRECT("J"&amp;(V144+70))="X"),1,0)+IF(AND(INDIRECT("K"&amp;(T144+70))="X",INDIRECT("K"&amp;(U144+70))="X",INDIRECT("K"&amp;(V144+70))="X"),1,0)+IF(AND(INDIRECT("L"&amp;(T144+70))="X",INDIRECT("L"&amp;(U144+70))="X",INDIRECT("L"&amp;(V144+70))="X"),1,0)+IF(AND(INDIRECT("M"&amp;(T144+70))="X",INDIRECT("M"&amp;(U144+70))="X",INDIRECT("M"&amp;(V144+70))="X"),1,0)+IF(AND(INDIRECT("N"&amp;(T144+70))="X",INDIRECT("N"&amp;(U144+70))="X",INDIRECT("N"&amp;(V144+70))="X"),1,0)+IF(AND(INDIRECT("O"&amp;(T144+70))="X",INDIRECT("O"&amp;(U144+70))="X",INDIRECT("O"&amp;(V144+70))="X"),1,0)+IF(AND(INDIRECT("P"&amp;(T144+70))="X",INDIRECT("P"&amp;(U144+70))="X",INDIRECT("P"&amp;(V144+70))="X"),1,0)+IF(AND(INDIRECT("Q"&amp;(T144+70))="X",INDIRECT("Q"&amp;(U144+70))="X",INDIRECT("Q"&amp;(V144+70))="X"),1,0)</f>
        <v>2</v>
      </c>
    </row>
    <row r="145" spans="20:23" x14ac:dyDescent="0.3">
      <c r="T145">
        <v>2</v>
      </c>
      <c r="U145">
        <v>4</v>
      </c>
      <c r="V145">
        <v>6</v>
      </c>
      <c r="W145" cm="1">
        <f t="array" aca="1" ref="W145" ca="1">IF(AND(INDIRECT("B"&amp;(T145+70))="X",INDIRECT("B"&amp;(U145+70))="X",INDIRECT("B"&amp;(V145+70))="X"),1,0)+IF(AND(INDIRECT("C"&amp;(T145+70))="X",INDIRECT("C"&amp;(U145+70))="X",INDIRECT("C"&amp;(V145+70))="X"),1,0)+IF(AND(INDIRECT("D"&amp;(T145+70))="X",INDIRECT("D"&amp;(U145+70))="X",INDIRECT("D"&amp;(V145+70))="X"),1,0)+IF(AND(INDIRECT("E"&amp;(T145+70))="X",INDIRECT("E"&amp;(U145+70))="X",INDIRECT("E"&amp;(V145+70))="X"),1,0)+IF(AND(INDIRECT("F"&amp;(T145+70))="X",INDIRECT("F"&amp;(U145+70))="X",INDIRECT("F"&amp;(V145+70))="X"),1,0)+IF(AND(INDIRECT("G"&amp;(T145+70))="X",INDIRECT("G"&amp;(U145+70))="X",INDIRECT("G"&amp;(V145+70))="X"),1,0)+IF(AND(INDIRECT("H"&amp;(T145+70))="X",INDIRECT("H"&amp;(U145+70))="X",INDIRECT("H"&amp;(V145+70))="X"),1,0)+IF(AND(INDIRECT("I"&amp;(T145+70))="X",INDIRECT("I"&amp;(U145+70))="X",INDIRECT("I"&amp;(V145+70))="X"),1,0)+IF(AND(INDIRECT("J"&amp;(T145+70))="X",INDIRECT("J"&amp;(U145+70))="X",INDIRECT("J"&amp;(V145+70))="X"),1,0)+IF(AND(INDIRECT("K"&amp;(T145+70))="X",INDIRECT("K"&amp;(U145+70))="X",INDIRECT("K"&amp;(V145+70))="X"),1,0)+IF(AND(INDIRECT("L"&amp;(T145+70))="X",INDIRECT("L"&amp;(U145+70))="X",INDIRECT("L"&amp;(V145+70))="X"),1,0)+IF(AND(INDIRECT("M"&amp;(T145+70))="X",INDIRECT("M"&amp;(U145+70))="X",INDIRECT("M"&amp;(V145+70))="X"),1,0)+IF(AND(INDIRECT("N"&amp;(T145+70))="X",INDIRECT("N"&amp;(U145+70))="X",INDIRECT("N"&amp;(V145+70))="X"),1,0)+IF(AND(INDIRECT("O"&amp;(T145+70))="X",INDIRECT("O"&amp;(U145+70))="X",INDIRECT("O"&amp;(V145+70))="X"),1,0)+IF(AND(INDIRECT("P"&amp;(T145+70))="X",INDIRECT("P"&amp;(U145+70))="X",INDIRECT("P"&amp;(V145+70))="X"),1,0)+IF(AND(INDIRECT("Q"&amp;(T145+70))="X",INDIRECT("Q"&amp;(U145+70))="X",INDIRECT("Q"&amp;(V145+70))="X"),1,0)</f>
        <v>1</v>
      </c>
    </row>
    <row r="146" spans="20:23" x14ac:dyDescent="0.3">
      <c r="T146">
        <v>2</v>
      </c>
      <c r="U146">
        <v>4</v>
      </c>
      <c r="V146">
        <v>7</v>
      </c>
      <c r="W146" cm="1">
        <f t="array" aca="1" ref="W146" ca="1">IF(AND(INDIRECT("B"&amp;(T146+70))="X",INDIRECT("B"&amp;(U146+70))="X",INDIRECT("B"&amp;(V146+70))="X"),1,0)+IF(AND(INDIRECT("C"&amp;(T146+70))="X",INDIRECT("C"&amp;(U146+70))="X",INDIRECT("C"&amp;(V146+70))="X"),1,0)+IF(AND(INDIRECT("D"&amp;(T146+70))="X",INDIRECT("D"&amp;(U146+70))="X",INDIRECT("D"&amp;(V146+70))="X"),1,0)+IF(AND(INDIRECT("E"&amp;(T146+70))="X",INDIRECT("E"&amp;(U146+70))="X",INDIRECT("E"&amp;(V146+70))="X"),1,0)+IF(AND(INDIRECT("F"&amp;(T146+70))="X",INDIRECT("F"&amp;(U146+70))="X",INDIRECT("F"&amp;(V146+70))="X"),1,0)+IF(AND(INDIRECT("G"&amp;(T146+70))="X",INDIRECT("G"&amp;(U146+70))="X",INDIRECT("G"&amp;(V146+70))="X"),1,0)+IF(AND(INDIRECT("H"&amp;(T146+70))="X",INDIRECT("H"&amp;(U146+70))="X",INDIRECT("H"&amp;(V146+70))="X"),1,0)+IF(AND(INDIRECT("I"&amp;(T146+70))="X",INDIRECT("I"&amp;(U146+70))="X",INDIRECT("I"&amp;(V146+70))="X"),1,0)+IF(AND(INDIRECT("J"&amp;(T146+70))="X",INDIRECT("J"&amp;(U146+70))="X",INDIRECT("J"&amp;(V146+70))="X"),1,0)+IF(AND(INDIRECT("K"&amp;(T146+70))="X",INDIRECT("K"&amp;(U146+70))="X",INDIRECT("K"&amp;(V146+70))="X"),1,0)+IF(AND(INDIRECT("L"&amp;(T146+70))="X",INDIRECT("L"&amp;(U146+70))="X",INDIRECT("L"&amp;(V146+70))="X"),1,0)+IF(AND(INDIRECT("M"&amp;(T146+70))="X",INDIRECT("M"&amp;(U146+70))="X",INDIRECT("M"&amp;(V146+70))="X"),1,0)+IF(AND(INDIRECT("N"&amp;(T146+70))="X",INDIRECT("N"&amp;(U146+70))="X",INDIRECT("N"&amp;(V146+70))="X"),1,0)+IF(AND(INDIRECT("O"&amp;(T146+70))="X",INDIRECT("O"&amp;(U146+70))="X",INDIRECT("O"&amp;(V146+70))="X"),1,0)+IF(AND(INDIRECT("P"&amp;(T146+70))="X",INDIRECT("P"&amp;(U146+70))="X",INDIRECT("P"&amp;(V146+70))="X"),1,0)+IF(AND(INDIRECT("Q"&amp;(T146+70))="X",INDIRECT("Q"&amp;(U146+70))="X",INDIRECT("Q"&amp;(V146+70))="X"),1,0)</f>
        <v>2</v>
      </c>
    </row>
    <row r="147" spans="20:23" x14ac:dyDescent="0.3">
      <c r="T147">
        <v>2</v>
      </c>
      <c r="U147">
        <v>4</v>
      </c>
      <c r="V147">
        <v>8</v>
      </c>
      <c r="W147" cm="1">
        <f t="array" aca="1" ref="W147" ca="1">IF(AND(INDIRECT("B"&amp;(T147+70))="X",INDIRECT("B"&amp;(U147+70))="X",INDIRECT("B"&amp;(V147+70))="X"),1,0)+IF(AND(INDIRECT("C"&amp;(T147+70))="X",INDIRECT("C"&amp;(U147+70))="X",INDIRECT("C"&amp;(V147+70))="X"),1,0)+IF(AND(INDIRECT("D"&amp;(T147+70))="X",INDIRECT("D"&amp;(U147+70))="X",INDIRECT("D"&amp;(V147+70))="X"),1,0)+IF(AND(INDIRECT("E"&amp;(T147+70))="X",INDIRECT("E"&amp;(U147+70))="X",INDIRECT("E"&amp;(V147+70))="X"),1,0)+IF(AND(INDIRECT("F"&amp;(T147+70))="X",INDIRECT("F"&amp;(U147+70))="X",INDIRECT("F"&amp;(V147+70))="X"),1,0)+IF(AND(INDIRECT("G"&amp;(T147+70))="X",INDIRECT("G"&amp;(U147+70))="X",INDIRECT("G"&amp;(V147+70))="X"),1,0)+IF(AND(INDIRECT("H"&amp;(T147+70))="X",INDIRECT("H"&amp;(U147+70))="X",INDIRECT("H"&amp;(V147+70))="X"),1,0)+IF(AND(INDIRECT("I"&amp;(T147+70))="X",INDIRECT("I"&amp;(U147+70))="X",INDIRECT("I"&amp;(V147+70))="X"),1,0)+IF(AND(INDIRECT("J"&amp;(T147+70))="X",INDIRECT("J"&amp;(U147+70))="X",INDIRECT("J"&amp;(V147+70))="X"),1,0)+IF(AND(INDIRECT("K"&amp;(T147+70))="X",INDIRECT("K"&amp;(U147+70))="X",INDIRECT("K"&amp;(V147+70))="X"),1,0)+IF(AND(INDIRECT("L"&amp;(T147+70))="X",INDIRECT("L"&amp;(U147+70))="X",INDIRECT("L"&amp;(V147+70))="X"),1,0)+IF(AND(INDIRECT("M"&amp;(T147+70))="X",INDIRECT("M"&amp;(U147+70))="X",INDIRECT("M"&amp;(V147+70))="X"),1,0)+IF(AND(INDIRECT("N"&amp;(T147+70))="X",INDIRECT("N"&amp;(U147+70))="X",INDIRECT("N"&amp;(V147+70))="X"),1,0)+IF(AND(INDIRECT("O"&amp;(T147+70))="X",INDIRECT("O"&amp;(U147+70))="X",INDIRECT("O"&amp;(V147+70))="X"),1,0)+IF(AND(INDIRECT("P"&amp;(T147+70))="X",INDIRECT("P"&amp;(U147+70))="X",INDIRECT("P"&amp;(V147+70))="X"),1,0)+IF(AND(INDIRECT("Q"&amp;(T147+70))="X",INDIRECT("Q"&amp;(U147+70))="X",INDIRECT("Q"&amp;(V147+70))="X"),1,0)</f>
        <v>1</v>
      </c>
    </row>
    <row r="148" spans="20:23" x14ac:dyDescent="0.3">
      <c r="T148">
        <v>2</v>
      </c>
      <c r="U148">
        <v>4</v>
      </c>
      <c r="V148">
        <v>9</v>
      </c>
      <c r="W148" cm="1">
        <f t="array" aca="1" ref="W148" ca="1">IF(AND(INDIRECT("B"&amp;(T148+70))="X",INDIRECT("B"&amp;(U148+70))="X",INDIRECT("B"&amp;(V148+70))="X"),1,0)+IF(AND(INDIRECT("C"&amp;(T148+70))="X",INDIRECT("C"&amp;(U148+70))="X",INDIRECT("C"&amp;(V148+70))="X"),1,0)+IF(AND(INDIRECT("D"&amp;(T148+70))="X",INDIRECT("D"&amp;(U148+70))="X",INDIRECT("D"&amp;(V148+70))="X"),1,0)+IF(AND(INDIRECT("E"&amp;(T148+70))="X",INDIRECT("E"&amp;(U148+70))="X",INDIRECT("E"&amp;(V148+70))="X"),1,0)+IF(AND(INDIRECT("F"&amp;(T148+70))="X",INDIRECT("F"&amp;(U148+70))="X",INDIRECT("F"&amp;(V148+70))="X"),1,0)+IF(AND(INDIRECT("G"&amp;(T148+70))="X",INDIRECT("G"&amp;(U148+70))="X",INDIRECT("G"&amp;(V148+70))="X"),1,0)+IF(AND(INDIRECT("H"&amp;(T148+70))="X",INDIRECT("H"&amp;(U148+70))="X",INDIRECT("H"&amp;(V148+70))="X"),1,0)+IF(AND(INDIRECT("I"&amp;(T148+70))="X",INDIRECT("I"&amp;(U148+70))="X",INDIRECT("I"&amp;(V148+70))="X"),1,0)+IF(AND(INDIRECT("J"&amp;(T148+70))="X",INDIRECT("J"&amp;(U148+70))="X",INDIRECT("J"&amp;(V148+70))="X"),1,0)+IF(AND(INDIRECT("K"&amp;(T148+70))="X",INDIRECT("K"&amp;(U148+70))="X",INDIRECT("K"&amp;(V148+70))="X"),1,0)+IF(AND(INDIRECT("L"&amp;(T148+70))="X",INDIRECT("L"&amp;(U148+70))="X",INDIRECT("L"&amp;(V148+70))="X"),1,0)+IF(AND(INDIRECT("M"&amp;(T148+70))="X",INDIRECT("M"&amp;(U148+70))="X",INDIRECT("M"&amp;(V148+70))="X"),1,0)+IF(AND(INDIRECT("N"&amp;(T148+70))="X",INDIRECT("N"&amp;(U148+70))="X",INDIRECT("N"&amp;(V148+70))="X"),1,0)+IF(AND(INDIRECT("O"&amp;(T148+70))="X",INDIRECT("O"&amp;(U148+70))="X",INDIRECT("O"&amp;(V148+70))="X"),1,0)+IF(AND(INDIRECT("P"&amp;(T148+70))="X",INDIRECT("P"&amp;(U148+70))="X",INDIRECT("P"&amp;(V148+70))="X"),1,0)+IF(AND(INDIRECT("Q"&amp;(T148+70))="X",INDIRECT("Q"&amp;(U148+70))="X",INDIRECT("Q"&amp;(V148+70))="X"),1,0)</f>
        <v>1</v>
      </c>
    </row>
    <row r="149" spans="20:23" x14ac:dyDescent="0.3">
      <c r="T149">
        <v>2</v>
      </c>
      <c r="U149">
        <v>4</v>
      </c>
      <c r="V149">
        <v>10</v>
      </c>
      <c r="W149" cm="1">
        <f t="array" aca="1" ref="W149" ca="1">IF(AND(INDIRECT("B"&amp;(T149+70))="X",INDIRECT("B"&amp;(U149+70))="X",INDIRECT("B"&amp;(V149+70))="X"),1,0)+IF(AND(INDIRECT("C"&amp;(T149+70))="X",INDIRECT("C"&amp;(U149+70))="X",INDIRECT("C"&amp;(V149+70))="X"),1,0)+IF(AND(INDIRECT("D"&amp;(T149+70))="X",INDIRECT("D"&amp;(U149+70))="X",INDIRECT("D"&amp;(V149+70))="X"),1,0)+IF(AND(INDIRECT("E"&amp;(T149+70))="X",INDIRECT("E"&amp;(U149+70))="X",INDIRECT("E"&amp;(V149+70))="X"),1,0)+IF(AND(INDIRECT("F"&amp;(T149+70))="X",INDIRECT("F"&amp;(U149+70))="X",INDIRECT("F"&amp;(V149+70))="X"),1,0)+IF(AND(INDIRECT("G"&amp;(T149+70))="X",INDIRECT("G"&amp;(U149+70))="X",INDIRECT("G"&amp;(V149+70))="X"),1,0)+IF(AND(INDIRECT("H"&amp;(T149+70))="X",INDIRECT("H"&amp;(U149+70))="X",INDIRECT("H"&amp;(V149+70))="X"),1,0)+IF(AND(INDIRECT("I"&amp;(T149+70))="X",INDIRECT("I"&amp;(U149+70))="X",INDIRECT("I"&amp;(V149+70))="X"),1,0)+IF(AND(INDIRECT("J"&amp;(T149+70))="X",INDIRECT("J"&amp;(U149+70))="X",INDIRECT("J"&amp;(V149+70))="X"),1,0)+IF(AND(INDIRECT("K"&amp;(T149+70))="X",INDIRECT("K"&amp;(U149+70))="X",INDIRECT("K"&amp;(V149+70))="X"),1,0)+IF(AND(INDIRECT("L"&amp;(T149+70))="X",INDIRECT("L"&amp;(U149+70))="X",INDIRECT("L"&amp;(V149+70))="X"),1,0)+IF(AND(INDIRECT("M"&amp;(T149+70))="X",INDIRECT("M"&amp;(U149+70))="X",INDIRECT("M"&amp;(V149+70))="X"),1,0)+IF(AND(INDIRECT("N"&amp;(T149+70))="X",INDIRECT("N"&amp;(U149+70))="X",INDIRECT("N"&amp;(V149+70))="X"),1,0)+IF(AND(INDIRECT("O"&amp;(T149+70))="X",INDIRECT("O"&amp;(U149+70))="X",INDIRECT("O"&amp;(V149+70))="X"),1,0)+IF(AND(INDIRECT("P"&amp;(T149+70))="X",INDIRECT("P"&amp;(U149+70))="X",INDIRECT("P"&amp;(V149+70))="X"),1,0)+IF(AND(INDIRECT("Q"&amp;(T149+70))="X",INDIRECT("Q"&amp;(U149+70))="X",INDIRECT("Q"&amp;(V149+70))="X"),1,0)</f>
        <v>0</v>
      </c>
    </row>
    <row r="150" spans="20:23" x14ac:dyDescent="0.3">
      <c r="T150">
        <v>2</v>
      </c>
      <c r="U150">
        <v>4</v>
      </c>
      <c r="V150">
        <v>11</v>
      </c>
      <c r="W150" cm="1">
        <f t="array" aca="1" ref="W150" ca="1">IF(AND(INDIRECT("B"&amp;(T150+70))="X",INDIRECT("B"&amp;(U150+70))="X",INDIRECT("B"&amp;(V150+70))="X"),1,0)+IF(AND(INDIRECT("C"&amp;(T150+70))="X",INDIRECT("C"&amp;(U150+70))="X",INDIRECT("C"&amp;(V150+70))="X"),1,0)+IF(AND(INDIRECT("D"&amp;(T150+70))="X",INDIRECT("D"&amp;(U150+70))="X",INDIRECT("D"&amp;(V150+70))="X"),1,0)+IF(AND(INDIRECT("E"&amp;(T150+70))="X",INDIRECT("E"&amp;(U150+70))="X",INDIRECT("E"&amp;(V150+70))="X"),1,0)+IF(AND(INDIRECT("F"&amp;(T150+70))="X",INDIRECT("F"&amp;(U150+70))="X",INDIRECT("F"&amp;(V150+70))="X"),1,0)+IF(AND(INDIRECT("G"&amp;(T150+70))="X",INDIRECT("G"&amp;(U150+70))="X",INDIRECT("G"&amp;(V150+70))="X"),1,0)+IF(AND(INDIRECT("H"&amp;(T150+70))="X",INDIRECT("H"&amp;(U150+70))="X",INDIRECT("H"&amp;(V150+70))="X"),1,0)+IF(AND(INDIRECT("I"&amp;(T150+70))="X",INDIRECT("I"&amp;(U150+70))="X",INDIRECT("I"&amp;(V150+70))="X"),1,0)+IF(AND(INDIRECT("J"&amp;(T150+70))="X",INDIRECT("J"&amp;(U150+70))="X",INDIRECT("J"&amp;(V150+70))="X"),1,0)+IF(AND(INDIRECT("K"&amp;(T150+70))="X",INDIRECT("K"&amp;(U150+70))="X",INDIRECT("K"&amp;(V150+70))="X"),1,0)+IF(AND(INDIRECT("L"&amp;(T150+70))="X",INDIRECT("L"&amp;(U150+70))="X",INDIRECT("L"&amp;(V150+70))="X"),1,0)+IF(AND(INDIRECT("M"&amp;(T150+70))="X",INDIRECT("M"&amp;(U150+70))="X",INDIRECT("M"&amp;(V150+70))="X"),1,0)+IF(AND(INDIRECT("N"&amp;(T150+70))="X",INDIRECT("N"&amp;(U150+70))="X",INDIRECT("N"&amp;(V150+70))="X"),1,0)+IF(AND(INDIRECT("O"&amp;(T150+70))="X",INDIRECT("O"&amp;(U150+70))="X",INDIRECT("O"&amp;(V150+70))="X"),1,0)+IF(AND(INDIRECT("P"&amp;(T150+70))="X",INDIRECT("P"&amp;(U150+70))="X",INDIRECT("P"&amp;(V150+70))="X"),1,0)+IF(AND(INDIRECT("Q"&amp;(T150+70))="X",INDIRECT("Q"&amp;(U150+70))="X",INDIRECT("Q"&amp;(V150+70))="X"),1,0)</f>
        <v>1</v>
      </c>
    </row>
    <row r="151" spans="20:23" x14ac:dyDescent="0.3">
      <c r="T151">
        <v>2</v>
      </c>
      <c r="U151">
        <v>4</v>
      </c>
      <c r="V151">
        <v>12</v>
      </c>
      <c r="W151" cm="1">
        <f t="array" aca="1" ref="W151" ca="1">IF(AND(INDIRECT("B"&amp;(T151+70))="X",INDIRECT("B"&amp;(U151+70))="X",INDIRECT("B"&amp;(V151+70))="X"),1,0)+IF(AND(INDIRECT("C"&amp;(T151+70))="X",INDIRECT("C"&amp;(U151+70))="X",INDIRECT("C"&amp;(V151+70))="X"),1,0)+IF(AND(INDIRECT("D"&amp;(T151+70))="X",INDIRECT("D"&amp;(U151+70))="X",INDIRECT("D"&amp;(V151+70))="X"),1,0)+IF(AND(INDIRECT("E"&amp;(T151+70))="X",INDIRECT("E"&amp;(U151+70))="X",INDIRECT("E"&amp;(V151+70))="X"),1,0)+IF(AND(INDIRECT("F"&amp;(T151+70))="X",INDIRECT("F"&amp;(U151+70))="X",INDIRECT("F"&amp;(V151+70))="X"),1,0)+IF(AND(INDIRECT("G"&amp;(T151+70))="X",INDIRECT("G"&amp;(U151+70))="X",INDIRECT("G"&amp;(V151+70))="X"),1,0)+IF(AND(INDIRECT("H"&amp;(T151+70))="X",INDIRECT("H"&amp;(U151+70))="X",INDIRECT("H"&amp;(V151+70))="X"),1,0)+IF(AND(INDIRECT("I"&amp;(T151+70))="X",INDIRECT("I"&amp;(U151+70))="X",INDIRECT("I"&amp;(V151+70))="X"),1,0)+IF(AND(INDIRECT("J"&amp;(T151+70))="X",INDIRECT("J"&amp;(U151+70))="X",INDIRECT("J"&amp;(V151+70))="X"),1,0)+IF(AND(INDIRECT("K"&amp;(T151+70))="X",INDIRECT("K"&amp;(U151+70))="X",INDIRECT("K"&amp;(V151+70))="X"),1,0)+IF(AND(INDIRECT("L"&amp;(T151+70))="X",INDIRECT("L"&amp;(U151+70))="X",INDIRECT("L"&amp;(V151+70))="X"),1,0)+IF(AND(INDIRECT("M"&amp;(T151+70))="X",INDIRECT("M"&amp;(U151+70))="X",INDIRECT("M"&amp;(V151+70))="X"),1,0)+IF(AND(INDIRECT("N"&amp;(T151+70))="X",INDIRECT("N"&amp;(U151+70))="X",INDIRECT("N"&amp;(V151+70))="X"),1,0)+IF(AND(INDIRECT("O"&amp;(T151+70))="X",INDIRECT("O"&amp;(U151+70))="X",INDIRECT("O"&amp;(V151+70))="X"),1,0)+IF(AND(INDIRECT("P"&amp;(T151+70))="X",INDIRECT("P"&amp;(U151+70))="X",INDIRECT("P"&amp;(V151+70))="X"),1,0)+IF(AND(INDIRECT("Q"&amp;(T151+70))="X",INDIRECT("Q"&amp;(U151+70))="X",INDIRECT("Q"&amp;(V151+70))="X"),1,0)</f>
        <v>1</v>
      </c>
    </row>
    <row r="152" spans="20:23" x14ac:dyDescent="0.3">
      <c r="T152">
        <v>2</v>
      </c>
      <c r="U152">
        <v>4</v>
      </c>
      <c r="V152">
        <v>13</v>
      </c>
      <c r="W152" cm="1">
        <f t="array" aca="1" ref="W152" ca="1">IF(AND(INDIRECT("B"&amp;(T152+70))="X",INDIRECT("B"&amp;(U152+70))="X",INDIRECT("B"&amp;(V152+70))="X"),1,0)+IF(AND(INDIRECT("C"&amp;(T152+70))="X",INDIRECT("C"&amp;(U152+70))="X",INDIRECT("C"&amp;(V152+70))="X"),1,0)+IF(AND(INDIRECT("D"&amp;(T152+70))="X",INDIRECT("D"&amp;(U152+70))="X",INDIRECT("D"&amp;(V152+70))="X"),1,0)+IF(AND(INDIRECT("E"&amp;(T152+70))="X",INDIRECT("E"&amp;(U152+70))="X",INDIRECT("E"&amp;(V152+70))="X"),1,0)+IF(AND(INDIRECT("F"&amp;(T152+70))="X",INDIRECT("F"&amp;(U152+70))="X",INDIRECT("F"&amp;(V152+70))="X"),1,0)+IF(AND(INDIRECT("G"&amp;(T152+70))="X",INDIRECT("G"&amp;(U152+70))="X",INDIRECT("G"&amp;(V152+70))="X"),1,0)+IF(AND(INDIRECT("H"&amp;(T152+70))="X",INDIRECT("H"&amp;(U152+70))="X",INDIRECT("H"&amp;(V152+70))="X"),1,0)+IF(AND(INDIRECT("I"&amp;(T152+70))="X",INDIRECT("I"&amp;(U152+70))="X",INDIRECT("I"&amp;(V152+70))="X"),1,0)+IF(AND(INDIRECT("J"&amp;(T152+70))="X",INDIRECT("J"&amp;(U152+70))="X",INDIRECT("J"&amp;(V152+70))="X"),1,0)+IF(AND(INDIRECT("K"&amp;(T152+70))="X",INDIRECT("K"&amp;(U152+70))="X",INDIRECT("K"&amp;(V152+70))="X"),1,0)+IF(AND(INDIRECT("L"&amp;(T152+70))="X",INDIRECT("L"&amp;(U152+70))="X",INDIRECT("L"&amp;(V152+70))="X"),1,0)+IF(AND(INDIRECT("M"&amp;(T152+70))="X",INDIRECT("M"&amp;(U152+70))="X",INDIRECT("M"&amp;(V152+70))="X"),1,0)+IF(AND(INDIRECT("N"&amp;(T152+70))="X",INDIRECT("N"&amp;(U152+70))="X",INDIRECT("N"&amp;(V152+70))="X"),1,0)+IF(AND(INDIRECT("O"&amp;(T152+70))="X",INDIRECT("O"&amp;(U152+70))="X",INDIRECT("O"&amp;(V152+70))="X"),1,0)+IF(AND(INDIRECT("P"&amp;(T152+70))="X",INDIRECT("P"&amp;(U152+70))="X",INDIRECT("P"&amp;(V152+70))="X"),1,0)+IF(AND(INDIRECT("Q"&amp;(T152+70))="X",INDIRECT("Q"&amp;(U152+70))="X",INDIRECT("Q"&amp;(V152+70))="X"),1,0)</f>
        <v>1</v>
      </c>
    </row>
    <row r="153" spans="20:23" x14ac:dyDescent="0.3">
      <c r="T153">
        <v>2</v>
      </c>
      <c r="U153">
        <v>4</v>
      </c>
      <c r="V153">
        <v>14</v>
      </c>
      <c r="W153" cm="1">
        <f t="array" aca="1" ref="W153" ca="1">IF(AND(INDIRECT("B"&amp;(T153+70))="X",INDIRECT("B"&amp;(U153+70))="X",INDIRECT("B"&amp;(V153+70))="X"),1,0)+IF(AND(INDIRECT("C"&amp;(T153+70))="X",INDIRECT("C"&amp;(U153+70))="X",INDIRECT("C"&amp;(V153+70))="X"),1,0)+IF(AND(INDIRECT("D"&amp;(T153+70))="X",INDIRECT("D"&amp;(U153+70))="X",INDIRECT("D"&amp;(V153+70))="X"),1,0)+IF(AND(INDIRECT("E"&amp;(T153+70))="X",INDIRECT("E"&amp;(U153+70))="X",INDIRECT("E"&amp;(V153+70))="X"),1,0)+IF(AND(INDIRECT("F"&amp;(T153+70))="X",INDIRECT("F"&amp;(U153+70))="X",INDIRECT("F"&amp;(V153+70))="X"),1,0)+IF(AND(INDIRECT("G"&amp;(T153+70))="X",INDIRECT("G"&amp;(U153+70))="X",INDIRECT("G"&amp;(V153+70))="X"),1,0)+IF(AND(INDIRECT("H"&amp;(T153+70))="X",INDIRECT("H"&amp;(U153+70))="X",INDIRECT("H"&amp;(V153+70))="X"),1,0)+IF(AND(INDIRECT("I"&amp;(T153+70))="X",INDIRECT("I"&amp;(U153+70))="X",INDIRECT("I"&amp;(V153+70))="X"),1,0)+IF(AND(INDIRECT("J"&amp;(T153+70))="X",INDIRECT("J"&amp;(U153+70))="X",INDIRECT("J"&amp;(V153+70))="X"),1,0)+IF(AND(INDIRECT("K"&amp;(T153+70))="X",INDIRECT("K"&amp;(U153+70))="X",INDIRECT("K"&amp;(V153+70))="X"),1,0)+IF(AND(INDIRECT("L"&amp;(T153+70))="X",INDIRECT("L"&amp;(U153+70))="X",INDIRECT("L"&amp;(V153+70))="X"),1,0)+IF(AND(INDIRECT("M"&amp;(T153+70))="X",INDIRECT("M"&amp;(U153+70))="X",INDIRECT("M"&amp;(V153+70))="X"),1,0)+IF(AND(INDIRECT("N"&amp;(T153+70))="X",INDIRECT("N"&amp;(U153+70))="X",INDIRECT("N"&amp;(V153+70))="X"),1,0)+IF(AND(INDIRECT("O"&amp;(T153+70))="X",INDIRECT("O"&amp;(U153+70))="X",INDIRECT("O"&amp;(V153+70))="X"),1,0)+IF(AND(INDIRECT("P"&amp;(T153+70))="X",INDIRECT("P"&amp;(U153+70))="X",INDIRECT("P"&amp;(V153+70))="X"),1,0)+IF(AND(INDIRECT("Q"&amp;(T153+70))="X",INDIRECT("Q"&amp;(U153+70))="X",INDIRECT("Q"&amp;(V153+70))="X"),1,0)</f>
        <v>1</v>
      </c>
    </row>
    <row r="154" spans="20:23" x14ac:dyDescent="0.3">
      <c r="T154">
        <v>2</v>
      </c>
      <c r="U154">
        <v>5</v>
      </c>
      <c r="V154">
        <v>6</v>
      </c>
      <c r="W154" cm="1">
        <f t="array" aca="1" ref="W154" ca="1">IF(AND(INDIRECT("B"&amp;(T154+70))="X",INDIRECT("B"&amp;(U154+70))="X",INDIRECT("B"&amp;(V154+70))="X"),1,0)+IF(AND(INDIRECT("C"&amp;(T154+70))="X",INDIRECT("C"&amp;(U154+70))="X",INDIRECT("C"&amp;(V154+70))="X"),1,0)+IF(AND(INDIRECT("D"&amp;(T154+70))="X",INDIRECT("D"&amp;(U154+70))="X",INDIRECT("D"&amp;(V154+70))="X"),1,0)+IF(AND(INDIRECT("E"&amp;(T154+70))="X",INDIRECT("E"&amp;(U154+70))="X",INDIRECT("E"&amp;(V154+70))="X"),1,0)+IF(AND(INDIRECT("F"&amp;(T154+70))="X",INDIRECT("F"&amp;(U154+70))="X",INDIRECT("F"&amp;(V154+70))="X"),1,0)+IF(AND(INDIRECT("G"&amp;(T154+70))="X",INDIRECT("G"&amp;(U154+70))="X",INDIRECT("G"&amp;(V154+70))="X"),1,0)+IF(AND(INDIRECT("H"&amp;(T154+70))="X",INDIRECT("H"&amp;(U154+70))="X",INDIRECT("H"&amp;(V154+70))="X"),1,0)+IF(AND(INDIRECT("I"&amp;(T154+70))="X",INDIRECT("I"&amp;(U154+70))="X",INDIRECT("I"&amp;(V154+70))="X"),1,0)+IF(AND(INDIRECT("J"&amp;(T154+70))="X",INDIRECT("J"&amp;(U154+70))="X",INDIRECT("J"&amp;(V154+70))="X"),1,0)+IF(AND(INDIRECT("K"&amp;(T154+70))="X",INDIRECT("K"&amp;(U154+70))="X",INDIRECT("K"&amp;(V154+70))="X"),1,0)+IF(AND(INDIRECT("L"&amp;(T154+70))="X",INDIRECT("L"&amp;(U154+70))="X",INDIRECT("L"&amp;(V154+70))="X"),1,0)+IF(AND(INDIRECT("M"&amp;(T154+70))="X",INDIRECT("M"&amp;(U154+70))="X",INDIRECT("M"&amp;(V154+70))="X"),1,0)+IF(AND(INDIRECT("N"&amp;(T154+70))="X",INDIRECT("N"&amp;(U154+70))="X",INDIRECT("N"&amp;(V154+70))="X"),1,0)+IF(AND(INDIRECT("O"&amp;(T154+70))="X",INDIRECT("O"&amp;(U154+70))="X",INDIRECT("O"&amp;(V154+70))="X"),1,0)+IF(AND(INDIRECT("P"&amp;(T154+70))="X",INDIRECT("P"&amp;(U154+70))="X",INDIRECT("P"&amp;(V154+70))="X"),1,0)+IF(AND(INDIRECT("Q"&amp;(T154+70))="X",INDIRECT("Q"&amp;(U154+70))="X",INDIRECT("Q"&amp;(V154+70))="X"),1,0)</f>
        <v>1</v>
      </c>
    </row>
    <row r="155" spans="20:23" x14ac:dyDescent="0.3">
      <c r="T155">
        <v>2</v>
      </c>
      <c r="U155">
        <v>5</v>
      </c>
      <c r="V155">
        <v>7</v>
      </c>
      <c r="W155" cm="1">
        <f t="array" aca="1" ref="W155" ca="1">IF(AND(INDIRECT("B"&amp;(T155+70))="X",INDIRECT("B"&amp;(U155+70))="X",INDIRECT("B"&amp;(V155+70))="X"),1,0)+IF(AND(INDIRECT("C"&amp;(T155+70))="X",INDIRECT("C"&amp;(U155+70))="X",INDIRECT("C"&amp;(V155+70))="X"),1,0)+IF(AND(INDIRECT("D"&amp;(T155+70))="X",INDIRECT("D"&amp;(U155+70))="X",INDIRECT("D"&amp;(V155+70))="X"),1,0)+IF(AND(INDIRECT("E"&amp;(T155+70))="X",INDIRECT("E"&amp;(U155+70))="X",INDIRECT("E"&amp;(V155+70))="X"),1,0)+IF(AND(INDIRECT("F"&amp;(T155+70))="X",INDIRECT("F"&amp;(U155+70))="X",INDIRECT("F"&amp;(V155+70))="X"),1,0)+IF(AND(INDIRECT("G"&amp;(T155+70))="X",INDIRECT("G"&amp;(U155+70))="X",INDIRECT("G"&amp;(V155+70))="X"),1,0)+IF(AND(INDIRECT("H"&amp;(T155+70))="X",INDIRECT("H"&amp;(U155+70))="X",INDIRECT("H"&amp;(V155+70))="X"),1,0)+IF(AND(INDIRECT("I"&amp;(T155+70))="X",INDIRECT("I"&amp;(U155+70))="X",INDIRECT("I"&amp;(V155+70))="X"),1,0)+IF(AND(INDIRECT("J"&amp;(T155+70))="X",INDIRECT("J"&amp;(U155+70))="X",INDIRECT("J"&amp;(V155+70))="X"),1,0)+IF(AND(INDIRECT("K"&amp;(T155+70))="X",INDIRECT("K"&amp;(U155+70))="X",INDIRECT("K"&amp;(V155+70))="X"),1,0)+IF(AND(INDIRECT("L"&amp;(T155+70))="X",INDIRECT("L"&amp;(U155+70))="X",INDIRECT("L"&amp;(V155+70))="X"),1,0)+IF(AND(INDIRECT("M"&amp;(T155+70))="X",INDIRECT("M"&amp;(U155+70))="X",INDIRECT("M"&amp;(V155+70))="X"),1,0)+IF(AND(INDIRECT("N"&amp;(T155+70))="X",INDIRECT("N"&amp;(U155+70))="X",INDIRECT("N"&amp;(V155+70))="X"),1,0)+IF(AND(INDIRECT("O"&amp;(T155+70))="X",INDIRECT("O"&amp;(U155+70))="X",INDIRECT("O"&amp;(V155+70))="X"),1,0)+IF(AND(INDIRECT("P"&amp;(T155+70))="X",INDIRECT("P"&amp;(U155+70))="X",INDIRECT("P"&amp;(V155+70))="X"),1,0)+IF(AND(INDIRECT("Q"&amp;(T155+70))="X",INDIRECT("Q"&amp;(U155+70))="X",INDIRECT("Q"&amp;(V155+70))="X"),1,0)</f>
        <v>3</v>
      </c>
    </row>
    <row r="156" spans="20:23" x14ac:dyDescent="0.3">
      <c r="T156">
        <v>2</v>
      </c>
      <c r="U156">
        <v>5</v>
      </c>
      <c r="V156">
        <v>8</v>
      </c>
      <c r="W156" cm="1">
        <f t="array" aca="1" ref="W156" ca="1">IF(AND(INDIRECT("B"&amp;(T156+70))="X",INDIRECT("B"&amp;(U156+70))="X",INDIRECT("B"&amp;(V156+70))="X"),1,0)+IF(AND(INDIRECT("C"&amp;(T156+70))="X",INDIRECT("C"&amp;(U156+70))="X",INDIRECT("C"&amp;(V156+70))="X"),1,0)+IF(AND(INDIRECT("D"&amp;(T156+70))="X",INDIRECT("D"&amp;(U156+70))="X",INDIRECT("D"&amp;(V156+70))="X"),1,0)+IF(AND(INDIRECT("E"&amp;(T156+70))="X",INDIRECT("E"&amp;(U156+70))="X",INDIRECT("E"&amp;(V156+70))="X"),1,0)+IF(AND(INDIRECT("F"&amp;(T156+70))="X",INDIRECT("F"&amp;(U156+70))="X",INDIRECT("F"&amp;(V156+70))="X"),1,0)+IF(AND(INDIRECT("G"&amp;(T156+70))="X",INDIRECT("G"&amp;(U156+70))="X",INDIRECT("G"&amp;(V156+70))="X"),1,0)+IF(AND(INDIRECT("H"&amp;(T156+70))="X",INDIRECT("H"&amp;(U156+70))="X",INDIRECT("H"&amp;(V156+70))="X"),1,0)+IF(AND(INDIRECT("I"&amp;(T156+70))="X",INDIRECT("I"&amp;(U156+70))="X",INDIRECT("I"&amp;(V156+70))="X"),1,0)+IF(AND(INDIRECT("J"&amp;(T156+70))="X",INDIRECT("J"&amp;(U156+70))="X",INDIRECT("J"&amp;(V156+70))="X"),1,0)+IF(AND(INDIRECT("K"&amp;(T156+70))="X",INDIRECT("K"&amp;(U156+70))="X",INDIRECT("K"&amp;(V156+70))="X"),1,0)+IF(AND(INDIRECT("L"&amp;(T156+70))="X",INDIRECT("L"&amp;(U156+70))="X",INDIRECT("L"&amp;(V156+70))="X"),1,0)+IF(AND(INDIRECT("M"&amp;(T156+70))="X",INDIRECT("M"&amp;(U156+70))="X",INDIRECT("M"&amp;(V156+70))="X"),1,0)+IF(AND(INDIRECT("N"&amp;(T156+70))="X",INDIRECT("N"&amp;(U156+70))="X",INDIRECT("N"&amp;(V156+70))="X"),1,0)+IF(AND(INDIRECT("O"&amp;(T156+70))="X",INDIRECT("O"&amp;(U156+70))="X",INDIRECT("O"&amp;(V156+70))="X"),1,0)+IF(AND(INDIRECT("P"&amp;(T156+70))="X",INDIRECT("P"&amp;(U156+70))="X",INDIRECT("P"&amp;(V156+70))="X"),1,0)+IF(AND(INDIRECT("Q"&amp;(T156+70))="X",INDIRECT("Q"&amp;(U156+70))="X",INDIRECT("Q"&amp;(V156+70))="X"),1,0)</f>
        <v>1</v>
      </c>
    </row>
    <row r="157" spans="20:23" x14ac:dyDescent="0.3">
      <c r="T157">
        <v>2</v>
      </c>
      <c r="U157">
        <v>5</v>
      </c>
      <c r="V157">
        <v>9</v>
      </c>
      <c r="W157" cm="1">
        <f t="array" aca="1" ref="W157" ca="1">IF(AND(INDIRECT("B"&amp;(T157+70))="X",INDIRECT("B"&amp;(U157+70))="X",INDIRECT("B"&amp;(V157+70))="X"),1,0)+IF(AND(INDIRECT("C"&amp;(T157+70))="X",INDIRECT("C"&amp;(U157+70))="X",INDIRECT("C"&amp;(V157+70))="X"),1,0)+IF(AND(INDIRECT("D"&amp;(T157+70))="X",INDIRECT("D"&amp;(U157+70))="X",INDIRECT("D"&amp;(V157+70))="X"),1,0)+IF(AND(INDIRECT("E"&amp;(T157+70))="X",INDIRECT("E"&amp;(U157+70))="X",INDIRECT("E"&amp;(V157+70))="X"),1,0)+IF(AND(INDIRECT("F"&amp;(T157+70))="X",INDIRECT("F"&amp;(U157+70))="X",INDIRECT("F"&amp;(V157+70))="X"),1,0)+IF(AND(INDIRECT("G"&amp;(T157+70))="X",INDIRECT("G"&amp;(U157+70))="X",INDIRECT("G"&amp;(V157+70))="X"),1,0)+IF(AND(INDIRECT("H"&amp;(T157+70))="X",INDIRECT("H"&amp;(U157+70))="X",INDIRECT("H"&amp;(V157+70))="X"),1,0)+IF(AND(INDIRECT("I"&amp;(T157+70))="X",INDIRECT("I"&amp;(U157+70))="X",INDIRECT("I"&amp;(V157+70))="X"),1,0)+IF(AND(INDIRECT("J"&amp;(T157+70))="X",INDIRECT("J"&amp;(U157+70))="X",INDIRECT("J"&amp;(V157+70))="X"),1,0)+IF(AND(INDIRECT("K"&amp;(T157+70))="X",INDIRECT("K"&amp;(U157+70))="X",INDIRECT("K"&amp;(V157+70))="X"),1,0)+IF(AND(INDIRECT("L"&amp;(T157+70))="X",INDIRECT("L"&amp;(U157+70))="X",INDIRECT("L"&amp;(V157+70))="X"),1,0)+IF(AND(INDIRECT("M"&amp;(T157+70))="X",INDIRECT("M"&amp;(U157+70))="X",INDIRECT("M"&amp;(V157+70))="X"),1,0)+IF(AND(INDIRECT("N"&amp;(T157+70))="X",INDIRECT("N"&amp;(U157+70))="X",INDIRECT("N"&amp;(V157+70))="X"),1,0)+IF(AND(INDIRECT("O"&amp;(T157+70))="X",INDIRECT("O"&amp;(U157+70))="X",INDIRECT("O"&amp;(V157+70))="X"),1,0)+IF(AND(INDIRECT("P"&amp;(T157+70))="X",INDIRECT("P"&amp;(U157+70))="X",INDIRECT("P"&amp;(V157+70))="X"),1,0)+IF(AND(INDIRECT("Q"&amp;(T157+70))="X",INDIRECT("Q"&amp;(U157+70))="X",INDIRECT("Q"&amp;(V157+70))="X"),1,0)</f>
        <v>2</v>
      </c>
    </row>
    <row r="158" spans="20:23" x14ac:dyDescent="0.3">
      <c r="T158">
        <v>2</v>
      </c>
      <c r="U158">
        <v>5</v>
      </c>
      <c r="V158">
        <v>10</v>
      </c>
      <c r="W158" cm="1">
        <f t="array" aca="1" ref="W158" ca="1">IF(AND(INDIRECT("B"&amp;(T158+70))="X",INDIRECT("B"&amp;(U158+70))="X",INDIRECT("B"&amp;(V158+70))="X"),1,0)+IF(AND(INDIRECT("C"&amp;(T158+70))="X",INDIRECT("C"&amp;(U158+70))="X",INDIRECT("C"&amp;(V158+70))="X"),1,0)+IF(AND(INDIRECT("D"&amp;(T158+70))="X",INDIRECT("D"&amp;(U158+70))="X",INDIRECT("D"&amp;(V158+70))="X"),1,0)+IF(AND(INDIRECT("E"&amp;(T158+70))="X",INDIRECT("E"&amp;(U158+70))="X",INDIRECT("E"&amp;(V158+70))="X"),1,0)+IF(AND(INDIRECT("F"&amp;(T158+70))="X",INDIRECT("F"&amp;(U158+70))="X",INDIRECT("F"&amp;(V158+70))="X"),1,0)+IF(AND(INDIRECT("G"&amp;(T158+70))="X",INDIRECT("G"&amp;(U158+70))="X",INDIRECT("G"&amp;(V158+70))="X"),1,0)+IF(AND(INDIRECT("H"&amp;(T158+70))="X",INDIRECT("H"&amp;(U158+70))="X",INDIRECT("H"&amp;(V158+70))="X"),1,0)+IF(AND(INDIRECT("I"&amp;(T158+70))="X",INDIRECT("I"&amp;(U158+70))="X",INDIRECT("I"&amp;(V158+70))="X"),1,0)+IF(AND(INDIRECT("J"&amp;(T158+70))="X",INDIRECT("J"&amp;(U158+70))="X",INDIRECT("J"&amp;(V158+70))="X"),1,0)+IF(AND(INDIRECT("K"&amp;(T158+70))="X",INDIRECT("K"&amp;(U158+70))="X",INDIRECT("K"&amp;(V158+70))="X"),1,0)+IF(AND(INDIRECT("L"&amp;(T158+70))="X",INDIRECT("L"&amp;(U158+70))="X",INDIRECT("L"&amp;(V158+70))="X"),1,0)+IF(AND(INDIRECT("M"&amp;(T158+70))="X",INDIRECT("M"&amp;(U158+70))="X",INDIRECT("M"&amp;(V158+70))="X"),1,0)+IF(AND(INDIRECT("N"&amp;(T158+70))="X",INDIRECT("N"&amp;(U158+70))="X",INDIRECT("N"&amp;(V158+70))="X"),1,0)+IF(AND(INDIRECT("O"&amp;(T158+70))="X",INDIRECT("O"&amp;(U158+70))="X",INDIRECT("O"&amp;(V158+70))="X"),1,0)+IF(AND(INDIRECT("P"&amp;(T158+70))="X",INDIRECT("P"&amp;(U158+70))="X",INDIRECT("P"&amp;(V158+70))="X"),1,0)+IF(AND(INDIRECT("Q"&amp;(T158+70))="X",INDIRECT("Q"&amp;(U158+70))="X",INDIRECT("Q"&amp;(V158+70))="X"),1,0)</f>
        <v>1</v>
      </c>
    </row>
    <row r="159" spans="20:23" x14ac:dyDescent="0.3">
      <c r="T159">
        <v>2</v>
      </c>
      <c r="U159">
        <v>5</v>
      </c>
      <c r="V159">
        <v>11</v>
      </c>
      <c r="W159" cm="1">
        <f t="array" aca="1" ref="W159" ca="1">IF(AND(INDIRECT("B"&amp;(T159+70))="X",INDIRECT("B"&amp;(U159+70))="X",INDIRECT("B"&amp;(V159+70))="X"),1,0)+IF(AND(INDIRECT("C"&amp;(T159+70))="X",INDIRECT("C"&amp;(U159+70))="X",INDIRECT("C"&amp;(V159+70))="X"),1,0)+IF(AND(INDIRECT("D"&amp;(T159+70))="X",INDIRECT("D"&amp;(U159+70))="X",INDIRECT("D"&amp;(V159+70))="X"),1,0)+IF(AND(INDIRECT("E"&amp;(T159+70))="X",INDIRECT("E"&amp;(U159+70))="X",INDIRECT("E"&amp;(V159+70))="X"),1,0)+IF(AND(INDIRECT("F"&amp;(T159+70))="X",INDIRECT("F"&amp;(U159+70))="X",INDIRECT("F"&amp;(V159+70))="X"),1,0)+IF(AND(INDIRECT("G"&amp;(T159+70))="X",INDIRECT("G"&amp;(U159+70))="X",INDIRECT("G"&amp;(V159+70))="X"),1,0)+IF(AND(INDIRECT("H"&amp;(T159+70))="X",INDIRECT("H"&amp;(U159+70))="X",INDIRECT("H"&amp;(V159+70))="X"),1,0)+IF(AND(INDIRECT("I"&amp;(T159+70))="X",INDIRECT("I"&amp;(U159+70))="X",INDIRECT("I"&amp;(V159+70))="X"),1,0)+IF(AND(INDIRECT("J"&amp;(T159+70))="X",INDIRECT("J"&amp;(U159+70))="X",INDIRECT("J"&amp;(V159+70))="X"),1,0)+IF(AND(INDIRECT("K"&amp;(T159+70))="X",INDIRECT("K"&amp;(U159+70))="X",INDIRECT("K"&amp;(V159+70))="X"),1,0)+IF(AND(INDIRECT("L"&amp;(T159+70))="X",INDIRECT("L"&amp;(U159+70))="X",INDIRECT("L"&amp;(V159+70))="X"),1,0)+IF(AND(INDIRECT("M"&amp;(T159+70))="X",INDIRECT("M"&amp;(U159+70))="X",INDIRECT("M"&amp;(V159+70))="X"),1,0)+IF(AND(INDIRECT("N"&amp;(T159+70))="X",INDIRECT("N"&amp;(U159+70))="X",INDIRECT("N"&amp;(V159+70))="X"),1,0)+IF(AND(INDIRECT("O"&amp;(T159+70))="X",INDIRECT("O"&amp;(U159+70))="X",INDIRECT("O"&amp;(V159+70))="X"),1,0)+IF(AND(INDIRECT("P"&amp;(T159+70))="X",INDIRECT("P"&amp;(U159+70))="X",INDIRECT("P"&amp;(V159+70))="X"),1,0)+IF(AND(INDIRECT("Q"&amp;(T159+70))="X",INDIRECT("Q"&amp;(U159+70))="X",INDIRECT("Q"&amp;(V159+70))="X"),1,0)</f>
        <v>1</v>
      </c>
    </row>
    <row r="160" spans="20:23" x14ac:dyDescent="0.3">
      <c r="T160">
        <v>2</v>
      </c>
      <c r="U160">
        <v>5</v>
      </c>
      <c r="V160">
        <v>12</v>
      </c>
      <c r="W160" cm="1">
        <f t="array" aca="1" ref="W160" ca="1">IF(AND(INDIRECT("B"&amp;(T160+70))="X",INDIRECT("B"&amp;(U160+70))="X",INDIRECT("B"&amp;(V160+70))="X"),1,0)+IF(AND(INDIRECT("C"&amp;(T160+70))="X",INDIRECT("C"&amp;(U160+70))="X",INDIRECT("C"&amp;(V160+70))="X"),1,0)+IF(AND(INDIRECT("D"&amp;(T160+70))="X",INDIRECT("D"&amp;(U160+70))="X",INDIRECT("D"&amp;(V160+70))="X"),1,0)+IF(AND(INDIRECT("E"&amp;(T160+70))="X",INDIRECT("E"&amp;(U160+70))="X",INDIRECT("E"&amp;(V160+70))="X"),1,0)+IF(AND(INDIRECT("F"&amp;(T160+70))="X",INDIRECT("F"&amp;(U160+70))="X",INDIRECT("F"&amp;(V160+70))="X"),1,0)+IF(AND(INDIRECT("G"&amp;(T160+70))="X",INDIRECT("G"&amp;(U160+70))="X",INDIRECT("G"&amp;(V160+70))="X"),1,0)+IF(AND(INDIRECT("H"&amp;(T160+70))="X",INDIRECT("H"&amp;(U160+70))="X",INDIRECT("H"&amp;(V160+70))="X"),1,0)+IF(AND(INDIRECT("I"&amp;(T160+70))="X",INDIRECT("I"&amp;(U160+70))="X",INDIRECT("I"&amp;(V160+70))="X"),1,0)+IF(AND(INDIRECT("J"&amp;(T160+70))="X",INDIRECT("J"&amp;(U160+70))="X",INDIRECT("J"&amp;(V160+70))="X"),1,0)+IF(AND(INDIRECT("K"&amp;(T160+70))="X",INDIRECT("K"&amp;(U160+70))="X",INDIRECT("K"&amp;(V160+70))="X"),1,0)+IF(AND(INDIRECT("L"&amp;(T160+70))="X",INDIRECT("L"&amp;(U160+70))="X",INDIRECT("L"&amp;(V160+70))="X"),1,0)+IF(AND(INDIRECT("M"&amp;(T160+70))="X",INDIRECT("M"&amp;(U160+70))="X",INDIRECT("M"&amp;(V160+70))="X"),1,0)+IF(AND(INDIRECT("N"&amp;(T160+70))="X",INDIRECT("N"&amp;(U160+70))="X",INDIRECT("N"&amp;(V160+70))="X"),1,0)+IF(AND(INDIRECT("O"&amp;(T160+70))="X",INDIRECT("O"&amp;(U160+70))="X",INDIRECT("O"&amp;(V160+70))="X"),1,0)+IF(AND(INDIRECT("P"&amp;(T160+70))="X",INDIRECT("P"&amp;(U160+70))="X",INDIRECT("P"&amp;(V160+70))="X"),1,0)+IF(AND(INDIRECT("Q"&amp;(T160+70))="X",INDIRECT("Q"&amp;(U160+70))="X",INDIRECT("Q"&amp;(V160+70))="X"),1,0)</f>
        <v>0</v>
      </c>
    </row>
    <row r="161" spans="20:23" x14ac:dyDescent="0.3">
      <c r="T161">
        <v>2</v>
      </c>
      <c r="U161">
        <v>5</v>
      </c>
      <c r="V161">
        <v>13</v>
      </c>
      <c r="W161" cm="1">
        <f t="array" aca="1" ref="W161" ca="1">IF(AND(INDIRECT("B"&amp;(T161+70))="X",INDIRECT("B"&amp;(U161+70))="X",INDIRECT("B"&amp;(V161+70))="X"),1,0)+IF(AND(INDIRECT("C"&amp;(T161+70))="X",INDIRECT("C"&amp;(U161+70))="X",INDIRECT("C"&amp;(V161+70))="X"),1,0)+IF(AND(INDIRECT("D"&amp;(T161+70))="X",INDIRECT("D"&amp;(U161+70))="X",INDIRECT("D"&amp;(V161+70))="X"),1,0)+IF(AND(INDIRECT("E"&amp;(T161+70))="X",INDIRECT("E"&amp;(U161+70))="X",INDIRECT("E"&amp;(V161+70))="X"),1,0)+IF(AND(INDIRECT("F"&amp;(T161+70))="X",INDIRECT("F"&amp;(U161+70))="X",INDIRECT("F"&amp;(V161+70))="X"),1,0)+IF(AND(INDIRECT("G"&amp;(T161+70))="X",INDIRECT("G"&amp;(U161+70))="X",INDIRECT("G"&amp;(V161+70))="X"),1,0)+IF(AND(INDIRECT("H"&amp;(T161+70))="X",INDIRECT("H"&amp;(U161+70))="X",INDIRECT("H"&amp;(V161+70))="X"),1,0)+IF(AND(INDIRECT("I"&amp;(T161+70))="X",INDIRECT("I"&amp;(U161+70))="X",INDIRECT("I"&amp;(V161+70))="X"),1,0)+IF(AND(INDIRECT("J"&amp;(T161+70))="X",INDIRECT("J"&amp;(U161+70))="X",INDIRECT("J"&amp;(V161+70))="X"),1,0)+IF(AND(INDIRECT("K"&amp;(T161+70))="X",INDIRECT("K"&amp;(U161+70))="X",INDIRECT("K"&amp;(V161+70))="X"),1,0)+IF(AND(INDIRECT("L"&amp;(T161+70))="X",INDIRECT("L"&amp;(U161+70))="X",INDIRECT("L"&amp;(V161+70))="X"),1,0)+IF(AND(INDIRECT("M"&amp;(T161+70))="X",INDIRECT("M"&amp;(U161+70))="X",INDIRECT("M"&amp;(V161+70))="X"),1,0)+IF(AND(INDIRECT("N"&amp;(T161+70))="X",INDIRECT("N"&amp;(U161+70))="X",INDIRECT("N"&amp;(V161+70))="X"),1,0)+IF(AND(INDIRECT("O"&amp;(T161+70))="X",INDIRECT("O"&amp;(U161+70))="X",INDIRECT("O"&amp;(V161+70))="X"),1,0)+IF(AND(INDIRECT("P"&amp;(T161+70))="X",INDIRECT("P"&amp;(U161+70))="X",INDIRECT("P"&amp;(V161+70))="X"),1,0)+IF(AND(INDIRECT("Q"&amp;(T161+70))="X",INDIRECT("Q"&amp;(U161+70))="X",INDIRECT("Q"&amp;(V161+70))="X"),1,0)</f>
        <v>1</v>
      </c>
    </row>
    <row r="162" spans="20:23" x14ac:dyDescent="0.3">
      <c r="T162">
        <v>2</v>
      </c>
      <c r="U162">
        <v>5</v>
      </c>
      <c r="V162">
        <v>14</v>
      </c>
      <c r="W162" cm="1">
        <f t="array" aca="1" ref="W162" ca="1">IF(AND(INDIRECT("B"&amp;(T162+70))="X",INDIRECT("B"&amp;(U162+70))="X",INDIRECT("B"&amp;(V162+70))="X"),1,0)+IF(AND(INDIRECT("C"&amp;(T162+70))="X",INDIRECT("C"&amp;(U162+70))="X",INDIRECT("C"&amp;(V162+70))="X"),1,0)+IF(AND(INDIRECT("D"&amp;(T162+70))="X",INDIRECT("D"&amp;(U162+70))="X",INDIRECT("D"&amp;(V162+70))="X"),1,0)+IF(AND(INDIRECT("E"&amp;(T162+70))="X",INDIRECT("E"&amp;(U162+70))="X",INDIRECT("E"&amp;(V162+70))="X"),1,0)+IF(AND(INDIRECT("F"&amp;(T162+70))="X",INDIRECT("F"&amp;(U162+70))="X",INDIRECT("F"&amp;(V162+70))="X"),1,0)+IF(AND(INDIRECT("G"&amp;(T162+70))="X",INDIRECT("G"&amp;(U162+70))="X",INDIRECT("G"&amp;(V162+70))="X"),1,0)+IF(AND(INDIRECT("H"&amp;(T162+70))="X",INDIRECT("H"&amp;(U162+70))="X",INDIRECT("H"&amp;(V162+70))="X"),1,0)+IF(AND(INDIRECT("I"&amp;(T162+70))="X",INDIRECT("I"&amp;(U162+70))="X",INDIRECT("I"&amp;(V162+70))="X"),1,0)+IF(AND(INDIRECT("J"&amp;(T162+70))="X",INDIRECT("J"&amp;(U162+70))="X",INDIRECT("J"&amp;(V162+70))="X"),1,0)+IF(AND(INDIRECT("K"&amp;(T162+70))="X",INDIRECT("K"&amp;(U162+70))="X",INDIRECT("K"&amp;(V162+70))="X"),1,0)+IF(AND(INDIRECT("L"&amp;(T162+70))="X",INDIRECT("L"&amp;(U162+70))="X",INDIRECT("L"&amp;(V162+70))="X"),1,0)+IF(AND(INDIRECT("M"&amp;(T162+70))="X",INDIRECT("M"&amp;(U162+70))="X",INDIRECT("M"&amp;(V162+70))="X"),1,0)+IF(AND(INDIRECT("N"&amp;(T162+70))="X",INDIRECT("N"&amp;(U162+70))="X",INDIRECT("N"&amp;(V162+70))="X"),1,0)+IF(AND(INDIRECT("O"&amp;(T162+70))="X",INDIRECT("O"&amp;(U162+70))="X",INDIRECT("O"&amp;(V162+70))="X"),1,0)+IF(AND(INDIRECT("P"&amp;(T162+70))="X",INDIRECT("P"&amp;(U162+70))="X",INDIRECT("P"&amp;(V162+70))="X"),1,0)+IF(AND(INDIRECT("Q"&amp;(T162+70))="X",INDIRECT("Q"&amp;(U162+70))="X",INDIRECT("Q"&amp;(V162+70))="X"),1,0)</f>
        <v>0</v>
      </c>
    </row>
    <row r="163" spans="20:23" x14ac:dyDescent="0.3">
      <c r="T163">
        <v>2</v>
      </c>
      <c r="U163">
        <v>6</v>
      </c>
      <c r="V163">
        <v>7</v>
      </c>
      <c r="W163" cm="1">
        <f t="array" aca="1" ref="W163" ca="1">IF(AND(INDIRECT("B"&amp;(T163+70))="X",INDIRECT("B"&amp;(U163+70))="X",INDIRECT("B"&amp;(V163+70))="X"),1,0)+IF(AND(INDIRECT("C"&amp;(T163+70))="X",INDIRECT("C"&amp;(U163+70))="X",INDIRECT("C"&amp;(V163+70))="X"),1,0)+IF(AND(INDIRECT("D"&amp;(T163+70))="X",INDIRECT("D"&amp;(U163+70))="X",INDIRECT("D"&amp;(V163+70))="X"),1,0)+IF(AND(INDIRECT("E"&amp;(T163+70))="X",INDIRECT("E"&amp;(U163+70))="X",INDIRECT("E"&amp;(V163+70))="X"),1,0)+IF(AND(INDIRECT("F"&amp;(T163+70))="X",INDIRECT("F"&amp;(U163+70))="X",INDIRECT("F"&amp;(V163+70))="X"),1,0)+IF(AND(INDIRECT("G"&amp;(T163+70))="X",INDIRECT("G"&amp;(U163+70))="X",INDIRECT("G"&amp;(V163+70))="X"),1,0)+IF(AND(INDIRECT("H"&amp;(T163+70))="X",INDIRECT("H"&amp;(U163+70))="X",INDIRECT("H"&amp;(V163+70))="X"),1,0)+IF(AND(INDIRECT("I"&amp;(T163+70))="X",INDIRECT("I"&amp;(U163+70))="X",INDIRECT("I"&amp;(V163+70))="X"),1,0)+IF(AND(INDIRECT("J"&amp;(T163+70))="X",INDIRECT("J"&amp;(U163+70))="X",INDIRECT("J"&amp;(V163+70))="X"),1,0)+IF(AND(INDIRECT("K"&amp;(T163+70))="X",INDIRECT("K"&amp;(U163+70))="X",INDIRECT("K"&amp;(V163+70))="X"),1,0)+IF(AND(INDIRECT("L"&amp;(T163+70))="X",INDIRECT("L"&amp;(U163+70))="X",INDIRECT("L"&amp;(V163+70))="X"),1,0)+IF(AND(INDIRECT("M"&amp;(T163+70))="X",INDIRECT("M"&amp;(U163+70))="X",INDIRECT("M"&amp;(V163+70))="X"),1,0)+IF(AND(INDIRECT("N"&amp;(T163+70))="X",INDIRECT("N"&amp;(U163+70))="X",INDIRECT("N"&amp;(V163+70))="X"),1,0)+IF(AND(INDIRECT("O"&amp;(T163+70))="X",INDIRECT("O"&amp;(U163+70))="X",INDIRECT("O"&amp;(V163+70))="X"),1,0)+IF(AND(INDIRECT("P"&amp;(T163+70))="X",INDIRECT("P"&amp;(U163+70))="X",INDIRECT("P"&amp;(V163+70))="X"),1,0)+IF(AND(INDIRECT("Q"&amp;(T163+70))="X",INDIRECT("Q"&amp;(U163+70))="X",INDIRECT("Q"&amp;(V163+70))="X"),1,0)</f>
        <v>1</v>
      </c>
    </row>
    <row r="164" spans="20:23" x14ac:dyDescent="0.3">
      <c r="T164">
        <v>2</v>
      </c>
      <c r="U164">
        <v>6</v>
      </c>
      <c r="V164">
        <v>8</v>
      </c>
      <c r="W164" cm="1">
        <f t="array" aca="1" ref="W164" ca="1">IF(AND(INDIRECT("B"&amp;(T164+70))="X",INDIRECT("B"&amp;(U164+70))="X",INDIRECT("B"&amp;(V164+70))="X"),1,0)+IF(AND(INDIRECT("C"&amp;(T164+70))="X",INDIRECT("C"&amp;(U164+70))="X",INDIRECT("C"&amp;(V164+70))="X"),1,0)+IF(AND(INDIRECT("D"&amp;(T164+70))="X",INDIRECT("D"&amp;(U164+70))="X",INDIRECT("D"&amp;(V164+70))="X"),1,0)+IF(AND(INDIRECT("E"&amp;(T164+70))="X",INDIRECT("E"&amp;(U164+70))="X",INDIRECT("E"&amp;(V164+70))="X"),1,0)+IF(AND(INDIRECT("F"&amp;(T164+70))="X",INDIRECT("F"&amp;(U164+70))="X",INDIRECT("F"&amp;(V164+70))="X"),1,0)+IF(AND(INDIRECT("G"&amp;(T164+70))="X",INDIRECT("G"&amp;(U164+70))="X",INDIRECT("G"&amp;(V164+70))="X"),1,0)+IF(AND(INDIRECT("H"&amp;(T164+70))="X",INDIRECT("H"&amp;(U164+70))="X",INDIRECT("H"&amp;(V164+70))="X"),1,0)+IF(AND(INDIRECT("I"&amp;(T164+70))="X",INDIRECT("I"&amp;(U164+70))="X",INDIRECT("I"&amp;(V164+70))="X"),1,0)+IF(AND(INDIRECT("J"&amp;(T164+70))="X",INDIRECT("J"&amp;(U164+70))="X",INDIRECT("J"&amp;(V164+70))="X"),1,0)+IF(AND(INDIRECT("K"&amp;(T164+70))="X",INDIRECT("K"&amp;(U164+70))="X",INDIRECT("K"&amp;(V164+70))="X"),1,0)+IF(AND(INDIRECT("L"&amp;(T164+70))="X",INDIRECT("L"&amp;(U164+70))="X",INDIRECT("L"&amp;(V164+70))="X"),1,0)+IF(AND(INDIRECT("M"&amp;(T164+70))="X",INDIRECT("M"&amp;(U164+70))="X",INDIRECT("M"&amp;(V164+70))="X"),1,0)+IF(AND(INDIRECT("N"&amp;(T164+70))="X",INDIRECT("N"&amp;(U164+70))="X",INDIRECT("N"&amp;(V164+70))="X"),1,0)+IF(AND(INDIRECT("O"&amp;(T164+70))="X",INDIRECT("O"&amp;(U164+70))="X",INDIRECT("O"&amp;(V164+70))="X"),1,0)+IF(AND(INDIRECT("P"&amp;(T164+70))="X",INDIRECT("P"&amp;(U164+70))="X",INDIRECT("P"&amp;(V164+70))="X"),1,0)+IF(AND(INDIRECT("Q"&amp;(T164+70))="X",INDIRECT("Q"&amp;(U164+70))="X",INDIRECT("Q"&amp;(V164+70))="X"),1,0)</f>
        <v>2</v>
      </c>
    </row>
    <row r="165" spans="20:23" x14ac:dyDescent="0.3">
      <c r="T165">
        <v>2</v>
      </c>
      <c r="U165">
        <v>6</v>
      </c>
      <c r="V165">
        <v>9</v>
      </c>
      <c r="W165" cm="1">
        <f t="array" aca="1" ref="W165" ca="1">IF(AND(INDIRECT("B"&amp;(T165+70))="X",INDIRECT("B"&amp;(U165+70))="X",INDIRECT("B"&amp;(V165+70))="X"),1,0)+IF(AND(INDIRECT("C"&amp;(T165+70))="X",INDIRECT("C"&amp;(U165+70))="X",INDIRECT("C"&amp;(V165+70))="X"),1,0)+IF(AND(INDIRECT("D"&amp;(T165+70))="X",INDIRECT("D"&amp;(U165+70))="X",INDIRECT("D"&amp;(V165+70))="X"),1,0)+IF(AND(INDIRECT("E"&amp;(T165+70))="X",INDIRECT("E"&amp;(U165+70))="X",INDIRECT("E"&amp;(V165+70))="X"),1,0)+IF(AND(INDIRECT("F"&amp;(T165+70))="X",INDIRECT("F"&amp;(U165+70))="X",INDIRECT("F"&amp;(V165+70))="X"),1,0)+IF(AND(INDIRECT("G"&amp;(T165+70))="X",INDIRECT("G"&amp;(U165+70))="X",INDIRECT("G"&amp;(V165+70))="X"),1,0)+IF(AND(INDIRECT("H"&amp;(T165+70))="X",INDIRECT("H"&amp;(U165+70))="X",INDIRECT("H"&amp;(V165+70))="X"),1,0)+IF(AND(INDIRECT("I"&amp;(T165+70))="X",INDIRECT("I"&amp;(U165+70))="X",INDIRECT("I"&amp;(V165+70))="X"),1,0)+IF(AND(INDIRECT("J"&amp;(T165+70))="X",INDIRECT("J"&amp;(U165+70))="X",INDIRECT("J"&amp;(V165+70))="X"),1,0)+IF(AND(INDIRECT("K"&amp;(T165+70))="X",INDIRECT("K"&amp;(U165+70))="X",INDIRECT("K"&amp;(V165+70))="X"),1,0)+IF(AND(INDIRECT("L"&amp;(T165+70))="X",INDIRECT("L"&amp;(U165+70))="X",INDIRECT("L"&amp;(V165+70))="X"),1,0)+IF(AND(INDIRECT("M"&amp;(T165+70))="X",INDIRECT("M"&amp;(U165+70))="X",INDIRECT("M"&amp;(V165+70))="X"),1,0)+IF(AND(INDIRECT("N"&amp;(T165+70))="X",INDIRECT("N"&amp;(U165+70))="X",INDIRECT("N"&amp;(V165+70))="X"),1,0)+IF(AND(INDIRECT("O"&amp;(T165+70))="X",INDIRECT("O"&amp;(U165+70))="X",INDIRECT("O"&amp;(V165+70))="X"),1,0)+IF(AND(INDIRECT("P"&amp;(T165+70))="X",INDIRECT("P"&amp;(U165+70))="X",INDIRECT("P"&amp;(V165+70))="X"),1,0)+IF(AND(INDIRECT("Q"&amp;(T165+70))="X",INDIRECT("Q"&amp;(U165+70))="X",INDIRECT("Q"&amp;(V165+70))="X"),1,0)</f>
        <v>1</v>
      </c>
    </row>
    <row r="166" spans="20:23" x14ac:dyDescent="0.3">
      <c r="T166">
        <v>2</v>
      </c>
      <c r="U166">
        <v>6</v>
      </c>
      <c r="V166">
        <v>10</v>
      </c>
      <c r="W166" cm="1">
        <f t="array" aca="1" ref="W166" ca="1">IF(AND(INDIRECT("B"&amp;(T166+70))="X",INDIRECT("B"&amp;(U166+70))="X",INDIRECT("B"&amp;(V166+70))="X"),1,0)+IF(AND(INDIRECT("C"&amp;(T166+70))="X",INDIRECT("C"&amp;(U166+70))="X",INDIRECT("C"&amp;(V166+70))="X"),1,0)+IF(AND(INDIRECT("D"&amp;(T166+70))="X",INDIRECT("D"&amp;(U166+70))="X",INDIRECT("D"&amp;(V166+70))="X"),1,0)+IF(AND(INDIRECT("E"&amp;(T166+70))="X",INDIRECT("E"&amp;(U166+70))="X",INDIRECT("E"&amp;(V166+70))="X"),1,0)+IF(AND(INDIRECT("F"&amp;(T166+70))="X",INDIRECT("F"&amp;(U166+70))="X",INDIRECT("F"&amp;(V166+70))="X"),1,0)+IF(AND(INDIRECT("G"&amp;(T166+70))="X",INDIRECT("G"&amp;(U166+70))="X",INDIRECT("G"&amp;(V166+70))="X"),1,0)+IF(AND(INDIRECT("H"&amp;(T166+70))="X",INDIRECT("H"&amp;(U166+70))="X",INDIRECT("H"&amp;(V166+70))="X"),1,0)+IF(AND(INDIRECT("I"&amp;(T166+70))="X",INDIRECT("I"&amp;(U166+70))="X",INDIRECT("I"&amp;(V166+70))="X"),1,0)+IF(AND(INDIRECT("J"&amp;(T166+70))="X",INDIRECT("J"&amp;(U166+70))="X",INDIRECT("J"&amp;(V166+70))="X"),1,0)+IF(AND(INDIRECT("K"&amp;(T166+70))="X",INDIRECT("K"&amp;(U166+70))="X",INDIRECT("K"&amp;(V166+70))="X"),1,0)+IF(AND(INDIRECT("L"&amp;(T166+70))="X",INDIRECT("L"&amp;(U166+70))="X",INDIRECT("L"&amp;(V166+70))="X"),1,0)+IF(AND(INDIRECT("M"&amp;(T166+70))="X",INDIRECT("M"&amp;(U166+70))="X",INDIRECT("M"&amp;(V166+70))="X"),1,0)+IF(AND(INDIRECT("N"&amp;(T166+70))="X",INDIRECT("N"&amp;(U166+70))="X",INDIRECT("N"&amp;(V166+70))="X"),1,0)+IF(AND(INDIRECT("O"&amp;(T166+70))="X",INDIRECT("O"&amp;(U166+70))="X",INDIRECT("O"&amp;(V166+70))="X"),1,0)+IF(AND(INDIRECT("P"&amp;(T166+70))="X",INDIRECT("P"&amp;(U166+70))="X",INDIRECT("P"&amp;(V166+70))="X"),1,0)+IF(AND(INDIRECT("Q"&amp;(T166+70))="X",INDIRECT("Q"&amp;(U166+70))="X",INDIRECT("Q"&amp;(V166+70))="X"),1,0)</f>
        <v>1</v>
      </c>
    </row>
    <row r="167" spans="20:23" x14ac:dyDescent="0.3">
      <c r="T167">
        <v>2</v>
      </c>
      <c r="U167">
        <v>6</v>
      </c>
      <c r="V167">
        <v>11</v>
      </c>
      <c r="W167" cm="1">
        <f t="array" aca="1" ref="W167" ca="1">IF(AND(INDIRECT("B"&amp;(T167+70))="X",INDIRECT("B"&amp;(U167+70))="X",INDIRECT("B"&amp;(V167+70))="X"),1,0)+IF(AND(INDIRECT("C"&amp;(T167+70))="X",INDIRECT("C"&amp;(U167+70))="X",INDIRECT("C"&amp;(V167+70))="X"),1,0)+IF(AND(INDIRECT("D"&amp;(T167+70))="X",INDIRECT("D"&amp;(U167+70))="X",INDIRECT("D"&amp;(V167+70))="X"),1,0)+IF(AND(INDIRECT("E"&amp;(T167+70))="X",INDIRECT("E"&amp;(U167+70))="X",INDIRECT("E"&amp;(V167+70))="X"),1,0)+IF(AND(INDIRECT("F"&amp;(T167+70))="X",INDIRECT("F"&amp;(U167+70))="X",INDIRECT("F"&amp;(V167+70))="X"),1,0)+IF(AND(INDIRECT("G"&amp;(T167+70))="X",INDIRECT("G"&amp;(U167+70))="X",INDIRECT("G"&amp;(V167+70))="X"),1,0)+IF(AND(INDIRECT("H"&amp;(T167+70))="X",INDIRECT("H"&amp;(U167+70))="X",INDIRECT("H"&amp;(V167+70))="X"),1,0)+IF(AND(INDIRECT("I"&amp;(T167+70))="X",INDIRECT("I"&amp;(U167+70))="X",INDIRECT("I"&amp;(V167+70))="X"),1,0)+IF(AND(INDIRECT("J"&amp;(T167+70))="X",INDIRECT("J"&amp;(U167+70))="X",INDIRECT("J"&amp;(V167+70))="X"),1,0)+IF(AND(INDIRECT("K"&amp;(T167+70))="X",INDIRECT("K"&amp;(U167+70))="X",INDIRECT("K"&amp;(V167+70))="X"),1,0)+IF(AND(INDIRECT("L"&amp;(T167+70))="X",INDIRECT("L"&amp;(U167+70))="X",INDIRECT("L"&amp;(V167+70))="X"),1,0)+IF(AND(INDIRECT("M"&amp;(T167+70))="X",INDIRECT("M"&amp;(U167+70))="X",INDIRECT("M"&amp;(V167+70))="X"),1,0)+IF(AND(INDIRECT("N"&amp;(T167+70))="X",INDIRECT("N"&amp;(U167+70))="X",INDIRECT("N"&amp;(V167+70))="X"),1,0)+IF(AND(INDIRECT("O"&amp;(T167+70))="X",INDIRECT("O"&amp;(U167+70))="X",INDIRECT("O"&amp;(V167+70))="X"),1,0)+IF(AND(INDIRECT("P"&amp;(T167+70))="X",INDIRECT("P"&amp;(U167+70))="X",INDIRECT("P"&amp;(V167+70))="X"),1,0)+IF(AND(INDIRECT("Q"&amp;(T167+70))="X",INDIRECT("Q"&amp;(U167+70))="X",INDIRECT("Q"&amp;(V167+70))="X"),1,0)</f>
        <v>0</v>
      </c>
    </row>
    <row r="168" spans="20:23" x14ac:dyDescent="0.3">
      <c r="T168">
        <v>2</v>
      </c>
      <c r="U168">
        <v>6</v>
      </c>
      <c r="V168">
        <v>12</v>
      </c>
      <c r="W168" cm="1">
        <f t="array" aca="1" ref="W168" ca="1">IF(AND(INDIRECT("B"&amp;(T168+70))="X",INDIRECT("B"&amp;(U168+70))="X",INDIRECT("B"&amp;(V168+70))="X"),1,0)+IF(AND(INDIRECT("C"&amp;(T168+70))="X",INDIRECT("C"&amp;(U168+70))="X",INDIRECT("C"&amp;(V168+70))="X"),1,0)+IF(AND(INDIRECT("D"&amp;(T168+70))="X",INDIRECT("D"&amp;(U168+70))="X",INDIRECT("D"&amp;(V168+70))="X"),1,0)+IF(AND(INDIRECT("E"&amp;(T168+70))="X",INDIRECT("E"&amp;(U168+70))="X",INDIRECT("E"&amp;(V168+70))="X"),1,0)+IF(AND(INDIRECT("F"&amp;(T168+70))="X",INDIRECT("F"&amp;(U168+70))="X",INDIRECT("F"&amp;(V168+70))="X"),1,0)+IF(AND(INDIRECT("G"&amp;(T168+70))="X",INDIRECT("G"&amp;(U168+70))="X",INDIRECT("G"&amp;(V168+70))="X"),1,0)+IF(AND(INDIRECT("H"&amp;(T168+70))="X",INDIRECT("H"&amp;(U168+70))="X",INDIRECT("H"&amp;(V168+70))="X"),1,0)+IF(AND(INDIRECT("I"&amp;(T168+70))="X",INDIRECT("I"&amp;(U168+70))="X",INDIRECT("I"&amp;(V168+70))="X"),1,0)+IF(AND(INDIRECT("J"&amp;(T168+70))="X",INDIRECT("J"&amp;(U168+70))="X",INDIRECT("J"&amp;(V168+70))="X"),1,0)+IF(AND(INDIRECT("K"&amp;(T168+70))="X",INDIRECT("K"&amp;(U168+70))="X",INDIRECT("K"&amp;(V168+70))="X"),1,0)+IF(AND(INDIRECT("L"&amp;(T168+70))="X",INDIRECT("L"&amp;(U168+70))="X",INDIRECT("L"&amp;(V168+70))="X"),1,0)+IF(AND(INDIRECT("M"&amp;(T168+70))="X",INDIRECT("M"&amp;(U168+70))="X",INDIRECT("M"&amp;(V168+70))="X"),1,0)+IF(AND(INDIRECT("N"&amp;(T168+70))="X",INDIRECT("N"&amp;(U168+70))="X",INDIRECT("N"&amp;(V168+70))="X"),1,0)+IF(AND(INDIRECT("O"&amp;(T168+70))="X",INDIRECT("O"&amp;(U168+70))="X",INDIRECT("O"&amp;(V168+70))="X"),1,0)+IF(AND(INDIRECT("P"&amp;(T168+70))="X",INDIRECT("P"&amp;(U168+70))="X",INDIRECT("P"&amp;(V168+70))="X"),1,0)+IF(AND(INDIRECT("Q"&amp;(T168+70))="X",INDIRECT("Q"&amp;(U168+70))="X",INDIRECT("Q"&amp;(V168+70))="X"),1,0)</f>
        <v>1</v>
      </c>
    </row>
    <row r="169" spans="20:23" x14ac:dyDescent="0.3">
      <c r="T169">
        <v>2</v>
      </c>
      <c r="U169">
        <v>6</v>
      </c>
      <c r="V169">
        <v>13</v>
      </c>
      <c r="W169" cm="1">
        <f t="array" aca="1" ref="W169" ca="1">IF(AND(INDIRECT("B"&amp;(T169+70))="X",INDIRECT("B"&amp;(U169+70))="X",INDIRECT("B"&amp;(V169+70))="X"),1,0)+IF(AND(INDIRECT("C"&amp;(T169+70))="X",INDIRECT("C"&amp;(U169+70))="X",INDIRECT("C"&amp;(V169+70))="X"),1,0)+IF(AND(INDIRECT("D"&amp;(T169+70))="X",INDIRECT("D"&amp;(U169+70))="X",INDIRECT("D"&amp;(V169+70))="X"),1,0)+IF(AND(INDIRECT("E"&amp;(T169+70))="X",INDIRECT("E"&amp;(U169+70))="X",INDIRECT("E"&amp;(V169+70))="X"),1,0)+IF(AND(INDIRECT("F"&amp;(T169+70))="X",INDIRECT("F"&amp;(U169+70))="X",INDIRECT("F"&amp;(V169+70))="X"),1,0)+IF(AND(INDIRECT("G"&amp;(T169+70))="X",INDIRECT("G"&amp;(U169+70))="X",INDIRECT("G"&amp;(V169+70))="X"),1,0)+IF(AND(INDIRECT("H"&amp;(T169+70))="X",INDIRECT("H"&amp;(U169+70))="X",INDIRECT("H"&amp;(V169+70))="X"),1,0)+IF(AND(INDIRECT("I"&amp;(T169+70))="X",INDIRECT("I"&amp;(U169+70))="X",INDIRECT("I"&amp;(V169+70))="X"),1,0)+IF(AND(INDIRECT("J"&amp;(T169+70))="X",INDIRECT("J"&amp;(U169+70))="X",INDIRECT("J"&amp;(V169+70))="X"),1,0)+IF(AND(INDIRECT("K"&amp;(T169+70))="X",INDIRECT("K"&amp;(U169+70))="X",INDIRECT("K"&amp;(V169+70))="X"),1,0)+IF(AND(INDIRECT("L"&amp;(T169+70))="X",INDIRECT("L"&amp;(U169+70))="X",INDIRECT("L"&amp;(V169+70))="X"),1,0)+IF(AND(INDIRECT("M"&amp;(T169+70))="X",INDIRECT("M"&amp;(U169+70))="X",INDIRECT("M"&amp;(V169+70))="X"),1,0)+IF(AND(INDIRECT("N"&amp;(T169+70))="X",INDIRECT("N"&amp;(U169+70))="X",INDIRECT("N"&amp;(V169+70))="X"),1,0)+IF(AND(INDIRECT("O"&amp;(T169+70))="X",INDIRECT("O"&amp;(U169+70))="X",INDIRECT("O"&amp;(V169+70))="X"),1,0)+IF(AND(INDIRECT("P"&amp;(T169+70))="X",INDIRECT("P"&amp;(U169+70))="X",INDIRECT("P"&amp;(V169+70))="X"),1,0)+IF(AND(INDIRECT("Q"&amp;(T169+70))="X",INDIRECT("Q"&amp;(U169+70))="X",INDIRECT("Q"&amp;(V169+70))="X"),1,0)</f>
        <v>0</v>
      </c>
    </row>
    <row r="170" spans="20:23" x14ac:dyDescent="0.3">
      <c r="T170">
        <v>2</v>
      </c>
      <c r="U170">
        <v>6</v>
      </c>
      <c r="V170">
        <v>14</v>
      </c>
      <c r="W170" cm="1">
        <f t="array" aca="1" ref="W170" ca="1">IF(AND(INDIRECT("B"&amp;(T170+70))="X",INDIRECT("B"&amp;(U170+70))="X",INDIRECT("B"&amp;(V170+70))="X"),1,0)+IF(AND(INDIRECT("C"&amp;(T170+70))="X",INDIRECT("C"&amp;(U170+70))="X",INDIRECT("C"&amp;(V170+70))="X"),1,0)+IF(AND(INDIRECT("D"&amp;(T170+70))="X",INDIRECT("D"&amp;(U170+70))="X",INDIRECT("D"&amp;(V170+70))="X"),1,0)+IF(AND(INDIRECT("E"&amp;(T170+70))="X",INDIRECT("E"&amp;(U170+70))="X",INDIRECT("E"&amp;(V170+70))="X"),1,0)+IF(AND(INDIRECT("F"&amp;(T170+70))="X",INDIRECT("F"&amp;(U170+70))="X",INDIRECT("F"&amp;(V170+70))="X"),1,0)+IF(AND(INDIRECT("G"&amp;(T170+70))="X",INDIRECT("G"&amp;(U170+70))="X",INDIRECT("G"&amp;(V170+70))="X"),1,0)+IF(AND(INDIRECT("H"&amp;(T170+70))="X",INDIRECT("H"&amp;(U170+70))="X",INDIRECT("H"&amp;(V170+70))="X"),1,0)+IF(AND(INDIRECT("I"&amp;(T170+70))="X",INDIRECT("I"&amp;(U170+70))="X",INDIRECT("I"&amp;(V170+70))="X"),1,0)+IF(AND(INDIRECT("J"&amp;(T170+70))="X",INDIRECT("J"&amp;(U170+70))="X",INDIRECT("J"&amp;(V170+70))="X"),1,0)+IF(AND(INDIRECT("K"&amp;(T170+70))="X",INDIRECT("K"&amp;(U170+70))="X",INDIRECT("K"&amp;(V170+70))="X"),1,0)+IF(AND(INDIRECT("L"&amp;(T170+70))="X",INDIRECT("L"&amp;(U170+70))="X",INDIRECT("L"&amp;(V170+70))="X"),1,0)+IF(AND(INDIRECT("M"&amp;(T170+70))="X",INDIRECT("M"&amp;(U170+70))="X",INDIRECT("M"&amp;(V170+70))="X"),1,0)+IF(AND(INDIRECT("N"&amp;(T170+70))="X",INDIRECT("N"&amp;(U170+70))="X",INDIRECT("N"&amp;(V170+70))="X"),1,0)+IF(AND(INDIRECT("O"&amp;(T170+70))="X",INDIRECT("O"&amp;(U170+70))="X",INDIRECT("O"&amp;(V170+70))="X"),1,0)+IF(AND(INDIRECT("P"&amp;(T170+70))="X",INDIRECT("P"&amp;(U170+70))="X",INDIRECT("P"&amp;(V170+70))="X"),1,0)+IF(AND(INDIRECT("Q"&amp;(T170+70))="X",INDIRECT("Q"&amp;(U170+70))="X",INDIRECT("Q"&amp;(V170+70))="X"),1,0)</f>
        <v>1</v>
      </c>
    </row>
    <row r="171" spans="20:23" x14ac:dyDescent="0.3">
      <c r="T171">
        <v>2</v>
      </c>
      <c r="U171">
        <v>7</v>
      </c>
      <c r="V171">
        <v>8</v>
      </c>
      <c r="W171" cm="1">
        <f t="array" aca="1" ref="W171" ca="1">IF(AND(INDIRECT("B"&amp;(T171+70))="X",INDIRECT("B"&amp;(U171+70))="X",INDIRECT("B"&amp;(V171+70))="X"),1,0)+IF(AND(INDIRECT("C"&amp;(T171+70))="X",INDIRECT("C"&amp;(U171+70))="X",INDIRECT("C"&amp;(V171+70))="X"),1,0)+IF(AND(INDIRECT("D"&amp;(T171+70))="X",INDIRECT("D"&amp;(U171+70))="X",INDIRECT("D"&amp;(V171+70))="X"),1,0)+IF(AND(INDIRECT("E"&amp;(T171+70))="X",INDIRECT("E"&amp;(U171+70))="X",INDIRECT("E"&amp;(V171+70))="X"),1,0)+IF(AND(INDIRECT("F"&amp;(T171+70))="X",INDIRECT("F"&amp;(U171+70))="X",INDIRECT("F"&amp;(V171+70))="X"),1,0)+IF(AND(INDIRECT("G"&amp;(T171+70))="X",INDIRECT("G"&amp;(U171+70))="X",INDIRECT("G"&amp;(V171+70))="X"),1,0)+IF(AND(INDIRECT("H"&amp;(T171+70))="X",INDIRECT("H"&amp;(U171+70))="X",INDIRECT("H"&amp;(V171+70))="X"),1,0)+IF(AND(INDIRECT("I"&amp;(T171+70))="X",INDIRECT("I"&amp;(U171+70))="X",INDIRECT("I"&amp;(V171+70))="X"),1,0)+IF(AND(INDIRECT("J"&amp;(T171+70))="X",INDIRECT("J"&amp;(U171+70))="X",INDIRECT("J"&amp;(V171+70))="X"),1,0)+IF(AND(INDIRECT("K"&amp;(T171+70))="X",INDIRECT("K"&amp;(U171+70))="X",INDIRECT("K"&amp;(V171+70))="X"),1,0)+IF(AND(INDIRECT("L"&amp;(T171+70))="X",INDIRECT("L"&amp;(U171+70))="X",INDIRECT("L"&amp;(V171+70))="X"),1,0)+IF(AND(INDIRECT("M"&amp;(T171+70))="X",INDIRECT("M"&amp;(U171+70))="X",INDIRECT("M"&amp;(V171+70))="X"),1,0)+IF(AND(INDIRECT("N"&amp;(T171+70))="X",INDIRECT("N"&amp;(U171+70))="X",INDIRECT("N"&amp;(V171+70))="X"),1,0)+IF(AND(INDIRECT("O"&amp;(T171+70))="X",INDIRECT("O"&amp;(U171+70))="X",INDIRECT("O"&amp;(V171+70))="X"),1,0)+IF(AND(INDIRECT("P"&amp;(T171+70))="X",INDIRECT("P"&amp;(U171+70))="X",INDIRECT("P"&amp;(V171+70))="X"),1,0)+IF(AND(INDIRECT("Q"&amp;(T171+70))="X",INDIRECT("Q"&amp;(U171+70))="X",INDIRECT("Q"&amp;(V171+70))="X"),1,0)</f>
        <v>1</v>
      </c>
    </row>
    <row r="172" spans="20:23" x14ac:dyDescent="0.3">
      <c r="T172">
        <v>2</v>
      </c>
      <c r="U172">
        <v>7</v>
      </c>
      <c r="V172">
        <v>9</v>
      </c>
      <c r="W172" cm="1">
        <f t="array" aca="1" ref="W172" ca="1">IF(AND(INDIRECT("B"&amp;(T172+70))="X",INDIRECT("B"&amp;(U172+70))="X",INDIRECT("B"&amp;(V172+70))="X"),1,0)+IF(AND(INDIRECT("C"&amp;(T172+70))="X",INDIRECT("C"&amp;(U172+70))="X",INDIRECT("C"&amp;(V172+70))="X"),1,0)+IF(AND(INDIRECT("D"&amp;(T172+70))="X",INDIRECT("D"&amp;(U172+70))="X",INDIRECT("D"&amp;(V172+70))="X"),1,0)+IF(AND(INDIRECT("E"&amp;(T172+70))="X",INDIRECT("E"&amp;(U172+70))="X",INDIRECT("E"&amp;(V172+70))="X"),1,0)+IF(AND(INDIRECT("F"&amp;(T172+70))="X",INDIRECT("F"&amp;(U172+70))="X",INDIRECT("F"&amp;(V172+70))="X"),1,0)+IF(AND(INDIRECT("G"&amp;(T172+70))="X",INDIRECT("G"&amp;(U172+70))="X",INDIRECT("G"&amp;(V172+70))="X"),1,0)+IF(AND(INDIRECT("H"&amp;(T172+70))="X",INDIRECT("H"&amp;(U172+70))="X",INDIRECT("H"&amp;(V172+70))="X"),1,0)+IF(AND(INDIRECT("I"&amp;(T172+70))="X",INDIRECT("I"&amp;(U172+70))="X",INDIRECT("I"&amp;(V172+70))="X"),1,0)+IF(AND(INDIRECT("J"&amp;(T172+70))="X",INDIRECT("J"&amp;(U172+70))="X",INDIRECT("J"&amp;(V172+70))="X"),1,0)+IF(AND(INDIRECT("K"&amp;(T172+70))="X",INDIRECT("K"&amp;(U172+70))="X",INDIRECT("K"&amp;(V172+70))="X"),1,0)+IF(AND(INDIRECT("L"&amp;(T172+70))="X",INDIRECT("L"&amp;(U172+70))="X",INDIRECT("L"&amp;(V172+70))="X"),1,0)+IF(AND(INDIRECT("M"&amp;(T172+70))="X",INDIRECT("M"&amp;(U172+70))="X",INDIRECT("M"&amp;(V172+70))="X"),1,0)+IF(AND(INDIRECT("N"&amp;(T172+70))="X",INDIRECT("N"&amp;(U172+70))="X",INDIRECT("N"&amp;(V172+70))="X"),1,0)+IF(AND(INDIRECT("O"&amp;(T172+70))="X",INDIRECT("O"&amp;(U172+70))="X",INDIRECT("O"&amp;(V172+70))="X"),1,0)+IF(AND(INDIRECT("P"&amp;(T172+70))="X",INDIRECT("P"&amp;(U172+70))="X",INDIRECT("P"&amp;(V172+70))="X"),1,0)+IF(AND(INDIRECT("Q"&amp;(T172+70))="X",INDIRECT("Q"&amp;(U172+70))="X",INDIRECT("Q"&amp;(V172+70))="X"),1,0)</f>
        <v>2</v>
      </c>
    </row>
    <row r="173" spans="20:23" x14ac:dyDescent="0.3">
      <c r="T173">
        <v>2</v>
      </c>
      <c r="U173">
        <v>7</v>
      </c>
      <c r="V173">
        <v>10</v>
      </c>
      <c r="W173" cm="1">
        <f t="array" aca="1" ref="W173" ca="1">IF(AND(INDIRECT("B"&amp;(T173+70))="X",INDIRECT("B"&amp;(U173+70))="X",INDIRECT("B"&amp;(V173+70))="X"),1,0)+IF(AND(INDIRECT("C"&amp;(T173+70))="X",INDIRECT("C"&amp;(U173+70))="X",INDIRECT("C"&amp;(V173+70))="X"),1,0)+IF(AND(INDIRECT("D"&amp;(T173+70))="X",INDIRECT("D"&amp;(U173+70))="X",INDIRECT("D"&amp;(V173+70))="X"),1,0)+IF(AND(INDIRECT("E"&amp;(T173+70))="X",INDIRECT("E"&amp;(U173+70))="X",INDIRECT("E"&amp;(V173+70))="X"),1,0)+IF(AND(INDIRECT("F"&amp;(T173+70))="X",INDIRECT("F"&amp;(U173+70))="X",INDIRECT("F"&amp;(V173+70))="X"),1,0)+IF(AND(INDIRECT("G"&amp;(T173+70))="X",INDIRECT("G"&amp;(U173+70))="X",INDIRECT("G"&amp;(V173+70))="X"),1,0)+IF(AND(INDIRECT("H"&amp;(T173+70))="X",INDIRECT("H"&amp;(U173+70))="X",INDIRECT("H"&amp;(V173+70))="X"),1,0)+IF(AND(INDIRECT("I"&amp;(T173+70))="X",INDIRECT("I"&amp;(U173+70))="X",INDIRECT("I"&amp;(V173+70))="X"),1,0)+IF(AND(INDIRECT("J"&amp;(T173+70))="X",INDIRECT("J"&amp;(U173+70))="X",INDIRECT("J"&amp;(V173+70))="X"),1,0)+IF(AND(INDIRECT("K"&amp;(T173+70))="X",INDIRECT("K"&amp;(U173+70))="X",INDIRECT("K"&amp;(V173+70))="X"),1,0)+IF(AND(INDIRECT("L"&amp;(T173+70))="X",INDIRECT("L"&amp;(U173+70))="X",INDIRECT("L"&amp;(V173+70))="X"),1,0)+IF(AND(INDIRECT("M"&amp;(T173+70))="X",INDIRECT("M"&amp;(U173+70))="X",INDIRECT("M"&amp;(V173+70))="X"),1,0)+IF(AND(INDIRECT("N"&amp;(T173+70))="X",INDIRECT("N"&amp;(U173+70))="X",INDIRECT("N"&amp;(V173+70))="X"),1,0)+IF(AND(INDIRECT("O"&amp;(T173+70))="X",INDIRECT("O"&amp;(U173+70))="X",INDIRECT("O"&amp;(V173+70))="X"),1,0)+IF(AND(INDIRECT("P"&amp;(T173+70))="X",INDIRECT("P"&amp;(U173+70))="X",INDIRECT("P"&amp;(V173+70))="X"),1,0)+IF(AND(INDIRECT("Q"&amp;(T173+70))="X",INDIRECT("Q"&amp;(U173+70))="X",INDIRECT("Q"&amp;(V173+70))="X"),1,0)</f>
        <v>1</v>
      </c>
    </row>
    <row r="174" spans="20:23" x14ac:dyDescent="0.3">
      <c r="T174">
        <v>2</v>
      </c>
      <c r="U174">
        <v>7</v>
      </c>
      <c r="V174">
        <v>11</v>
      </c>
      <c r="W174" cm="1">
        <f t="array" aca="1" ref="W174" ca="1">IF(AND(INDIRECT("B"&amp;(T174+70))="X",INDIRECT("B"&amp;(U174+70))="X",INDIRECT("B"&amp;(V174+70))="X"),1,0)+IF(AND(INDIRECT("C"&amp;(T174+70))="X",INDIRECT("C"&amp;(U174+70))="X",INDIRECT("C"&amp;(V174+70))="X"),1,0)+IF(AND(INDIRECT("D"&amp;(T174+70))="X",INDIRECT("D"&amp;(U174+70))="X",INDIRECT("D"&amp;(V174+70))="X"),1,0)+IF(AND(INDIRECT("E"&amp;(T174+70))="X",INDIRECT("E"&amp;(U174+70))="X",INDIRECT("E"&amp;(V174+70))="X"),1,0)+IF(AND(INDIRECT("F"&amp;(T174+70))="X",INDIRECT("F"&amp;(U174+70))="X",INDIRECT("F"&amp;(V174+70))="X"),1,0)+IF(AND(INDIRECT("G"&amp;(T174+70))="X",INDIRECT("G"&amp;(U174+70))="X",INDIRECT("G"&amp;(V174+70))="X"),1,0)+IF(AND(INDIRECT("H"&amp;(T174+70))="X",INDIRECT("H"&amp;(U174+70))="X",INDIRECT("H"&amp;(V174+70))="X"),1,0)+IF(AND(INDIRECT("I"&amp;(T174+70))="X",INDIRECT("I"&amp;(U174+70))="X",INDIRECT("I"&amp;(V174+70))="X"),1,0)+IF(AND(INDIRECT("J"&amp;(T174+70))="X",INDIRECT("J"&amp;(U174+70))="X",INDIRECT("J"&amp;(V174+70))="X"),1,0)+IF(AND(INDIRECT("K"&amp;(T174+70))="X",INDIRECT("K"&amp;(U174+70))="X",INDIRECT("K"&amp;(V174+70))="X"),1,0)+IF(AND(INDIRECT("L"&amp;(T174+70))="X",INDIRECT("L"&amp;(U174+70))="X",INDIRECT("L"&amp;(V174+70))="X"),1,0)+IF(AND(INDIRECT("M"&amp;(T174+70))="X",INDIRECT("M"&amp;(U174+70))="X",INDIRECT("M"&amp;(V174+70))="X"),1,0)+IF(AND(INDIRECT("N"&amp;(T174+70))="X",INDIRECT("N"&amp;(U174+70))="X",INDIRECT("N"&amp;(V174+70))="X"),1,0)+IF(AND(INDIRECT("O"&amp;(T174+70))="X",INDIRECT("O"&amp;(U174+70))="X",INDIRECT("O"&amp;(V174+70))="X"),1,0)+IF(AND(INDIRECT("P"&amp;(T174+70))="X",INDIRECT("P"&amp;(U174+70))="X",INDIRECT("P"&amp;(V174+70))="X"),1,0)+IF(AND(INDIRECT("Q"&amp;(T174+70))="X",INDIRECT("Q"&amp;(U174+70))="X",INDIRECT("Q"&amp;(V174+70))="X"),1,0)</f>
        <v>1</v>
      </c>
    </row>
    <row r="175" spans="20:23" x14ac:dyDescent="0.3">
      <c r="T175">
        <v>2</v>
      </c>
      <c r="U175">
        <v>7</v>
      </c>
      <c r="V175">
        <v>12</v>
      </c>
      <c r="W175" cm="1">
        <f t="array" aca="1" ref="W175" ca="1">IF(AND(INDIRECT("B"&amp;(T175+70))="X",INDIRECT("B"&amp;(U175+70))="X",INDIRECT("B"&amp;(V175+70))="X"),1,0)+IF(AND(INDIRECT("C"&amp;(T175+70))="X",INDIRECT("C"&amp;(U175+70))="X",INDIRECT("C"&amp;(V175+70))="X"),1,0)+IF(AND(INDIRECT("D"&amp;(T175+70))="X",INDIRECT("D"&amp;(U175+70))="X",INDIRECT("D"&amp;(V175+70))="X"),1,0)+IF(AND(INDIRECT("E"&amp;(T175+70))="X",INDIRECT("E"&amp;(U175+70))="X",INDIRECT("E"&amp;(V175+70))="X"),1,0)+IF(AND(INDIRECT("F"&amp;(T175+70))="X",INDIRECT("F"&amp;(U175+70))="X",INDIRECT("F"&amp;(V175+70))="X"),1,0)+IF(AND(INDIRECT("G"&amp;(T175+70))="X",INDIRECT("G"&amp;(U175+70))="X",INDIRECT("G"&amp;(V175+70))="X"),1,0)+IF(AND(INDIRECT("H"&amp;(T175+70))="X",INDIRECT("H"&amp;(U175+70))="X",INDIRECT("H"&amp;(V175+70))="X"),1,0)+IF(AND(INDIRECT("I"&amp;(T175+70))="X",INDIRECT("I"&amp;(U175+70))="X",INDIRECT("I"&amp;(V175+70))="X"),1,0)+IF(AND(INDIRECT("J"&amp;(T175+70))="X",INDIRECT("J"&amp;(U175+70))="X",INDIRECT("J"&amp;(V175+70))="X"),1,0)+IF(AND(INDIRECT("K"&amp;(T175+70))="X",INDIRECT("K"&amp;(U175+70))="X",INDIRECT("K"&amp;(V175+70))="X"),1,0)+IF(AND(INDIRECT("L"&amp;(T175+70))="X",INDIRECT("L"&amp;(U175+70))="X",INDIRECT("L"&amp;(V175+70))="X"),1,0)+IF(AND(INDIRECT("M"&amp;(T175+70))="X",INDIRECT("M"&amp;(U175+70))="X",INDIRECT("M"&amp;(V175+70))="X"),1,0)+IF(AND(INDIRECT("N"&amp;(T175+70))="X",INDIRECT("N"&amp;(U175+70))="X",INDIRECT("N"&amp;(V175+70))="X"),1,0)+IF(AND(INDIRECT("O"&amp;(T175+70))="X",INDIRECT("O"&amp;(U175+70))="X",INDIRECT("O"&amp;(V175+70))="X"),1,0)+IF(AND(INDIRECT("P"&amp;(T175+70))="X",INDIRECT("P"&amp;(U175+70))="X",INDIRECT("P"&amp;(V175+70))="X"),1,0)+IF(AND(INDIRECT("Q"&amp;(T175+70))="X",INDIRECT("Q"&amp;(U175+70))="X",INDIRECT("Q"&amp;(V175+70))="X"),1,0)</f>
        <v>0</v>
      </c>
    </row>
    <row r="176" spans="20:23" x14ac:dyDescent="0.3">
      <c r="T176">
        <v>2</v>
      </c>
      <c r="U176">
        <v>7</v>
      </c>
      <c r="V176">
        <v>13</v>
      </c>
      <c r="W176" cm="1">
        <f t="array" aca="1" ref="W176" ca="1">IF(AND(INDIRECT("B"&amp;(T176+70))="X",INDIRECT("B"&amp;(U176+70))="X",INDIRECT("B"&amp;(V176+70))="X"),1,0)+IF(AND(INDIRECT("C"&amp;(T176+70))="X",INDIRECT("C"&amp;(U176+70))="X",INDIRECT("C"&amp;(V176+70))="X"),1,0)+IF(AND(INDIRECT("D"&amp;(T176+70))="X",INDIRECT("D"&amp;(U176+70))="X",INDIRECT("D"&amp;(V176+70))="X"),1,0)+IF(AND(INDIRECT("E"&amp;(T176+70))="X",INDIRECT("E"&amp;(U176+70))="X",INDIRECT("E"&amp;(V176+70))="X"),1,0)+IF(AND(INDIRECT("F"&amp;(T176+70))="X",INDIRECT("F"&amp;(U176+70))="X",INDIRECT("F"&amp;(V176+70))="X"),1,0)+IF(AND(INDIRECT("G"&amp;(T176+70))="X",INDIRECT("G"&amp;(U176+70))="X",INDIRECT("G"&amp;(V176+70))="X"),1,0)+IF(AND(INDIRECT("H"&amp;(T176+70))="X",INDIRECT("H"&amp;(U176+70))="X",INDIRECT("H"&amp;(V176+70))="X"),1,0)+IF(AND(INDIRECT("I"&amp;(T176+70))="X",INDIRECT("I"&amp;(U176+70))="X",INDIRECT("I"&amp;(V176+70))="X"),1,0)+IF(AND(INDIRECT("J"&amp;(T176+70))="X",INDIRECT("J"&amp;(U176+70))="X",INDIRECT("J"&amp;(V176+70))="X"),1,0)+IF(AND(INDIRECT("K"&amp;(T176+70))="X",INDIRECT("K"&amp;(U176+70))="X",INDIRECT("K"&amp;(V176+70))="X"),1,0)+IF(AND(INDIRECT("L"&amp;(T176+70))="X",INDIRECT("L"&amp;(U176+70))="X",INDIRECT("L"&amp;(V176+70))="X"),1,0)+IF(AND(INDIRECT("M"&amp;(T176+70))="X",INDIRECT("M"&amp;(U176+70))="X",INDIRECT("M"&amp;(V176+70))="X"),1,0)+IF(AND(INDIRECT("N"&amp;(T176+70))="X",INDIRECT("N"&amp;(U176+70))="X",INDIRECT("N"&amp;(V176+70))="X"),1,0)+IF(AND(INDIRECT("O"&amp;(T176+70))="X",INDIRECT("O"&amp;(U176+70))="X",INDIRECT("O"&amp;(V176+70))="X"),1,0)+IF(AND(INDIRECT("P"&amp;(T176+70))="X",INDIRECT("P"&amp;(U176+70))="X",INDIRECT("P"&amp;(V176+70))="X"),1,0)+IF(AND(INDIRECT("Q"&amp;(T176+70))="X",INDIRECT("Q"&amp;(U176+70))="X",INDIRECT("Q"&amp;(V176+70))="X"),1,0)</f>
        <v>1</v>
      </c>
    </row>
    <row r="177" spans="20:23" x14ac:dyDescent="0.3">
      <c r="T177">
        <v>2</v>
      </c>
      <c r="U177">
        <v>7</v>
      </c>
      <c r="V177">
        <v>14</v>
      </c>
      <c r="W177" cm="1">
        <f t="array" aca="1" ref="W177" ca="1">IF(AND(INDIRECT("B"&amp;(T177+70))="X",INDIRECT("B"&amp;(U177+70))="X",INDIRECT("B"&amp;(V177+70))="X"),1,0)+IF(AND(INDIRECT("C"&amp;(T177+70))="X",INDIRECT("C"&amp;(U177+70))="X",INDIRECT("C"&amp;(V177+70))="X"),1,0)+IF(AND(INDIRECT("D"&amp;(T177+70))="X",INDIRECT("D"&amp;(U177+70))="X",INDIRECT("D"&amp;(V177+70))="X"),1,0)+IF(AND(INDIRECT("E"&amp;(T177+70))="X",INDIRECT("E"&amp;(U177+70))="X",INDIRECT("E"&amp;(V177+70))="X"),1,0)+IF(AND(INDIRECT("F"&amp;(T177+70))="X",INDIRECT("F"&amp;(U177+70))="X",INDIRECT("F"&amp;(V177+70))="X"),1,0)+IF(AND(INDIRECT("G"&amp;(T177+70))="X",INDIRECT("G"&amp;(U177+70))="X",INDIRECT("G"&amp;(V177+70))="X"),1,0)+IF(AND(INDIRECT("H"&amp;(T177+70))="X",INDIRECT("H"&amp;(U177+70))="X",INDIRECT("H"&amp;(V177+70))="X"),1,0)+IF(AND(INDIRECT("I"&amp;(T177+70))="X",INDIRECT("I"&amp;(U177+70))="X",INDIRECT("I"&amp;(V177+70))="X"),1,0)+IF(AND(INDIRECT("J"&amp;(T177+70))="X",INDIRECT("J"&amp;(U177+70))="X",INDIRECT("J"&amp;(V177+70))="X"),1,0)+IF(AND(INDIRECT("K"&amp;(T177+70))="X",INDIRECT("K"&amp;(U177+70))="X",INDIRECT("K"&amp;(V177+70))="X"),1,0)+IF(AND(INDIRECT("L"&amp;(T177+70))="X",INDIRECT("L"&amp;(U177+70))="X",INDIRECT("L"&amp;(V177+70))="X"),1,0)+IF(AND(INDIRECT("M"&amp;(T177+70))="X",INDIRECT("M"&amp;(U177+70))="X",INDIRECT("M"&amp;(V177+70))="X"),1,0)+IF(AND(INDIRECT("N"&amp;(T177+70))="X",INDIRECT("N"&amp;(U177+70))="X",INDIRECT("N"&amp;(V177+70))="X"),1,0)+IF(AND(INDIRECT("O"&amp;(T177+70))="X",INDIRECT("O"&amp;(U177+70))="X",INDIRECT("O"&amp;(V177+70))="X"),1,0)+IF(AND(INDIRECT("P"&amp;(T177+70))="X",INDIRECT("P"&amp;(U177+70))="X",INDIRECT("P"&amp;(V177+70))="X"),1,0)+IF(AND(INDIRECT("Q"&amp;(T177+70))="X",INDIRECT("Q"&amp;(U177+70))="X",INDIRECT("Q"&amp;(V177+70))="X"),1,0)</f>
        <v>0</v>
      </c>
    </row>
    <row r="178" spans="20:23" x14ac:dyDescent="0.3">
      <c r="T178">
        <v>2</v>
      </c>
      <c r="U178">
        <v>8</v>
      </c>
      <c r="V178">
        <v>9</v>
      </c>
      <c r="W178" cm="1">
        <f t="array" aca="1" ref="W178" ca="1">IF(AND(INDIRECT("B"&amp;(T178+70))="X",INDIRECT("B"&amp;(U178+70))="X",INDIRECT("B"&amp;(V178+70))="X"),1,0)+IF(AND(INDIRECT("C"&amp;(T178+70))="X",INDIRECT("C"&amp;(U178+70))="X",INDIRECT("C"&amp;(V178+70))="X"),1,0)+IF(AND(INDIRECT("D"&amp;(T178+70))="X",INDIRECT("D"&amp;(U178+70))="X",INDIRECT("D"&amp;(V178+70))="X"),1,0)+IF(AND(INDIRECT("E"&amp;(T178+70))="X",INDIRECT("E"&amp;(U178+70))="X",INDIRECT("E"&amp;(V178+70))="X"),1,0)+IF(AND(INDIRECT("F"&amp;(T178+70))="X",INDIRECT("F"&amp;(U178+70))="X",INDIRECT("F"&amp;(V178+70))="X"),1,0)+IF(AND(INDIRECT("G"&amp;(T178+70))="X",INDIRECT("G"&amp;(U178+70))="X",INDIRECT("G"&amp;(V178+70))="X"),1,0)+IF(AND(INDIRECT("H"&amp;(T178+70))="X",INDIRECT("H"&amp;(U178+70))="X",INDIRECT("H"&amp;(V178+70))="X"),1,0)+IF(AND(INDIRECT("I"&amp;(T178+70))="X",INDIRECT("I"&amp;(U178+70))="X",INDIRECT("I"&amp;(V178+70))="X"),1,0)+IF(AND(INDIRECT("J"&amp;(T178+70))="X",INDIRECT("J"&amp;(U178+70))="X",INDIRECT("J"&amp;(V178+70))="X"),1,0)+IF(AND(INDIRECT("K"&amp;(T178+70))="X",INDIRECT("K"&amp;(U178+70))="X",INDIRECT("K"&amp;(V178+70))="X"),1,0)+IF(AND(INDIRECT("L"&amp;(T178+70))="X",INDIRECT("L"&amp;(U178+70))="X",INDIRECT("L"&amp;(V178+70))="X"),1,0)+IF(AND(INDIRECT("M"&amp;(T178+70))="X",INDIRECT("M"&amp;(U178+70))="X",INDIRECT("M"&amp;(V178+70))="X"),1,0)+IF(AND(INDIRECT("N"&amp;(T178+70))="X",INDIRECT("N"&amp;(U178+70))="X",INDIRECT("N"&amp;(V178+70))="X"),1,0)+IF(AND(INDIRECT("O"&amp;(T178+70))="X",INDIRECT("O"&amp;(U178+70))="X",INDIRECT("O"&amp;(V178+70))="X"),1,0)+IF(AND(INDIRECT("P"&amp;(T178+70))="X",INDIRECT("P"&amp;(U178+70))="X",INDIRECT("P"&amp;(V178+70))="X"),1,0)+IF(AND(INDIRECT("Q"&amp;(T178+70))="X",INDIRECT("Q"&amp;(U178+70))="X",INDIRECT("Q"&amp;(V178+70))="X"),1,0)</f>
        <v>1</v>
      </c>
    </row>
    <row r="179" spans="20:23" x14ac:dyDescent="0.3">
      <c r="T179">
        <v>2</v>
      </c>
      <c r="U179">
        <v>8</v>
      </c>
      <c r="V179">
        <v>10</v>
      </c>
      <c r="W179" cm="1">
        <f t="array" aca="1" ref="W179" ca="1">IF(AND(INDIRECT("B"&amp;(T179+70))="X",INDIRECT("B"&amp;(U179+70))="X",INDIRECT("B"&amp;(V179+70))="X"),1,0)+IF(AND(INDIRECT("C"&amp;(T179+70))="X",INDIRECT("C"&amp;(U179+70))="X",INDIRECT("C"&amp;(V179+70))="X"),1,0)+IF(AND(INDIRECT("D"&amp;(T179+70))="X",INDIRECT("D"&amp;(U179+70))="X",INDIRECT("D"&amp;(V179+70))="X"),1,0)+IF(AND(INDIRECT("E"&amp;(T179+70))="X",INDIRECT("E"&amp;(U179+70))="X",INDIRECT("E"&amp;(V179+70))="X"),1,0)+IF(AND(INDIRECT("F"&amp;(T179+70))="X",INDIRECT("F"&amp;(U179+70))="X",INDIRECT("F"&amp;(V179+70))="X"),1,0)+IF(AND(INDIRECT("G"&amp;(T179+70))="X",INDIRECT("G"&amp;(U179+70))="X",INDIRECT("G"&amp;(V179+70))="X"),1,0)+IF(AND(INDIRECT("H"&amp;(T179+70))="X",INDIRECT("H"&amp;(U179+70))="X",INDIRECT("H"&amp;(V179+70))="X"),1,0)+IF(AND(INDIRECT("I"&amp;(T179+70))="X",INDIRECT("I"&amp;(U179+70))="X",INDIRECT("I"&amp;(V179+70))="X"),1,0)+IF(AND(INDIRECT("J"&amp;(T179+70))="X",INDIRECT("J"&amp;(U179+70))="X",INDIRECT("J"&amp;(V179+70))="X"),1,0)+IF(AND(INDIRECT("K"&amp;(T179+70))="X",INDIRECT("K"&amp;(U179+70))="X",INDIRECT("K"&amp;(V179+70))="X"),1,0)+IF(AND(INDIRECT("L"&amp;(T179+70))="X",INDIRECT("L"&amp;(U179+70))="X",INDIRECT("L"&amp;(V179+70))="X"),1,0)+IF(AND(INDIRECT("M"&amp;(T179+70))="X",INDIRECT("M"&amp;(U179+70))="X",INDIRECT("M"&amp;(V179+70))="X"),1,0)+IF(AND(INDIRECT("N"&amp;(T179+70))="X",INDIRECT("N"&amp;(U179+70))="X",INDIRECT("N"&amp;(V179+70))="X"),1,0)+IF(AND(INDIRECT("O"&amp;(T179+70))="X",INDIRECT("O"&amp;(U179+70))="X",INDIRECT("O"&amp;(V179+70))="X"),1,0)+IF(AND(INDIRECT("P"&amp;(T179+70))="X",INDIRECT("P"&amp;(U179+70))="X",INDIRECT("P"&amp;(V179+70))="X"),1,0)+IF(AND(INDIRECT("Q"&amp;(T179+70))="X",INDIRECT("Q"&amp;(U179+70))="X",INDIRECT("Q"&amp;(V179+70))="X"),1,0)</f>
        <v>1</v>
      </c>
    </row>
    <row r="180" spans="20:23" x14ac:dyDescent="0.3">
      <c r="T180">
        <v>2</v>
      </c>
      <c r="U180">
        <v>8</v>
      </c>
      <c r="V180">
        <v>11</v>
      </c>
      <c r="W180" cm="1">
        <f t="array" aca="1" ref="W180" ca="1">IF(AND(INDIRECT("B"&amp;(T180+70))="X",INDIRECT("B"&amp;(U180+70))="X",INDIRECT("B"&amp;(V180+70))="X"),1,0)+IF(AND(INDIRECT("C"&amp;(T180+70))="X",INDIRECT("C"&amp;(U180+70))="X",INDIRECT("C"&amp;(V180+70))="X"),1,0)+IF(AND(INDIRECT("D"&amp;(T180+70))="X",INDIRECT("D"&amp;(U180+70))="X",INDIRECT("D"&amp;(V180+70))="X"),1,0)+IF(AND(INDIRECT("E"&amp;(T180+70))="X",INDIRECT("E"&amp;(U180+70))="X",INDIRECT("E"&amp;(V180+70))="X"),1,0)+IF(AND(INDIRECT("F"&amp;(T180+70))="X",INDIRECT("F"&amp;(U180+70))="X",INDIRECT("F"&amp;(V180+70))="X"),1,0)+IF(AND(INDIRECT("G"&amp;(T180+70))="X",INDIRECT("G"&amp;(U180+70))="X",INDIRECT("G"&amp;(V180+70))="X"),1,0)+IF(AND(INDIRECT("H"&amp;(T180+70))="X",INDIRECT("H"&amp;(U180+70))="X",INDIRECT("H"&amp;(V180+70))="X"),1,0)+IF(AND(INDIRECT("I"&amp;(T180+70))="X",INDIRECT("I"&amp;(U180+70))="X",INDIRECT("I"&amp;(V180+70))="X"),1,0)+IF(AND(INDIRECT("J"&amp;(T180+70))="X",INDIRECT("J"&amp;(U180+70))="X",INDIRECT("J"&amp;(V180+70))="X"),1,0)+IF(AND(INDIRECT("K"&amp;(T180+70))="X",INDIRECT("K"&amp;(U180+70))="X",INDIRECT("K"&amp;(V180+70))="X"),1,0)+IF(AND(INDIRECT("L"&amp;(T180+70))="X",INDIRECT("L"&amp;(U180+70))="X",INDIRECT("L"&amp;(V180+70))="X"),1,0)+IF(AND(INDIRECT("M"&amp;(T180+70))="X",INDIRECT("M"&amp;(U180+70))="X",INDIRECT("M"&amp;(V180+70))="X"),1,0)+IF(AND(INDIRECT("N"&amp;(T180+70))="X",INDIRECT("N"&amp;(U180+70))="X",INDIRECT("N"&amp;(V180+70))="X"),1,0)+IF(AND(INDIRECT("O"&amp;(T180+70))="X",INDIRECT("O"&amp;(U180+70))="X",INDIRECT("O"&amp;(V180+70))="X"),1,0)+IF(AND(INDIRECT("P"&amp;(T180+70))="X",INDIRECT("P"&amp;(U180+70))="X",INDIRECT("P"&amp;(V180+70))="X"),1,0)+IF(AND(INDIRECT("Q"&amp;(T180+70))="X",INDIRECT("Q"&amp;(U180+70))="X",INDIRECT("Q"&amp;(V180+70))="X"),1,0)</f>
        <v>0</v>
      </c>
    </row>
    <row r="181" spans="20:23" x14ac:dyDescent="0.3">
      <c r="T181">
        <v>2</v>
      </c>
      <c r="U181">
        <v>8</v>
      </c>
      <c r="V181">
        <v>12</v>
      </c>
      <c r="W181" cm="1">
        <f t="array" aca="1" ref="W181" ca="1">IF(AND(INDIRECT("B"&amp;(T181+70))="X",INDIRECT("B"&amp;(U181+70))="X",INDIRECT("B"&amp;(V181+70))="X"),1,0)+IF(AND(INDIRECT("C"&amp;(T181+70))="X",INDIRECT("C"&amp;(U181+70))="X",INDIRECT("C"&amp;(V181+70))="X"),1,0)+IF(AND(INDIRECT("D"&amp;(T181+70))="X",INDIRECT("D"&amp;(U181+70))="X",INDIRECT("D"&amp;(V181+70))="X"),1,0)+IF(AND(INDIRECT("E"&amp;(T181+70))="X",INDIRECT("E"&amp;(U181+70))="X",INDIRECT("E"&amp;(V181+70))="X"),1,0)+IF(AND(INDIRECT("F"&amp;(T181+70))="X",INDIRECT("F"&amp;(U181+70))="X",INDIRECT("F"&amp;(V181+70))="X"),1,0)+IF(AND(INDIRECT("G"&amp;(T181+70))="X",INDIRECT("G"&amp;(U181+70))="X",INDIRECT("G"&amp;(V181+70))="X"),1,0)+IF(AND(INDIRECT("H"&amp;(T181+70))="X",INDIRECT("H"&amp;(U181+70))="X",INDIRECT("H"&amp;(V181+70))="X"),1,0)+IF(AND(INDIRECT("I"&amp;(T181+70))="X",INDIRECT("I"&amp;(U181+70))="X",INDIRECT("I"&amp;(V181+70))="X"),1,0)+IF(AND(INDIRECT("J"&amp;(T181+70))="X",INDIRECT("J"&amp;(U181+70))="X",INDIRECT("J"&amp;(V181+70))="X"),1,0)+IF(AND(INDIRECT("K"&amp;(T181+70))="X",INDIRECT("K"&amp;(U181+70))="X",INDIRECT("K"&amp;(V181+70))="X"),1,0)+IF(AND(INDIRECT("L"&amp;(T181+70))="X",INDIRECT("L"&amp;(U181+70))="X",INDIRECT("L"&amp;(V181+70))="X"),1,0)+IF(AND(INDIRECT("M"&amp;(T181+70))="X",INDIRECT("M"&amp;(U181+70))="X",INDIRECT("M"&amp;(V181+70))="X"),1,0)+IF(AND(INDIRECT("N"&amp;(T181+70))="X",INDIRECT("N"&amp;(U181+70))="X",INDIRECT("N"&amp;(V181+70))="X"),1,0)+IF(AND(INDIRECT("O"&amp;(T181+70))="X",INDIRECT("O"&amp;(U181+70))="X",INDIRECT("O"&amp;(V181+70))="X"),1,0)+IF(AND(INDIRECT("P"&amp;(T181+70))="X",INDIRECT("P"&amp;(U181+70))="X",INDIRECT("P"&amp;(V181+70))="X"),1,0)+IF(AND(INDIRECT("Q"&amp;(T181+70))="X",INDIRECT("Q"&amp;(U181+70))="X",INDIRECT("Q"&amp;(V181+70))="X"),1,0)</f>
        <v>1</v>
      </c>
    </row>
    <row r="182" spans="20:23" x14ac:dyDescent="0.3">
      <c r="T182">
        <v>2</v>
      </c>
      <c r="U182">
        <v>8</v>
      </c>
      <c r="V182">
        <v>13</v>
      </c>
      <c r="W182" cm="1">
        <f t="array" aca="1" ref="W182" ca="1">IF(AND(INDIRECT("B"&amp;(T182+70))="X",INDIRECT("B"&amp;(U182+70))="X",INDIRECT("B"&amp;(V182+70))="X"),1,0)+IF(AND(INDIRECT("C"&amp;(T182+70))="X",INDIRECT("C"&amp;(U182+70))="X",INDIRECT("C"&amp;(V182+70))="X"),1,0)+IF(AND(INDIRECT("D"&amp;(T182+70))="X",INDIRECT("D"&amp;(U182+70))="X",INDIRECT("D"&amp;(V182+70))="X"),1,0)+IF(AND(INDIRECT("E"&amp;(T182+70))="X",INDIRECT("E"&amp;(U182+70))="X",INDIRECT("E"&amp;(V182+70))="X"),1,0)+IF(AND(INDIRECT("F"&amp;(T182+70))="X",INDIRECT("F"&amp;(U182+70))="X",INDIRECT("F"&amp;(V182+70))="X"),1,0)+IF(AND(INDIRECT("G"&amp;(T182+70))="X",INDIRECT("G"&amp;(U182+70))="X",INDIRECT("G"&amp;(V182+70))="X"),1,0)+IF(AND(INDIRECT("H"&amp;(T182+70))="X",INDIRECT("H"&amp;(U182+70))="X",INDIRECT("H"&amp;(V182+70))="X"),1,0)+IF(AND(INDIRECT("I"&amp;(T182+70))="X",INDIRECT("I"&amp;(U182+70))="X",INDIRECT("I"&amp;(V182+70))="X"),1,0)+IF(AND(INDIRECT("J"&amp;(T182+70))="X",INDIRECT("J"&amp;(U182+70))="X",INDIRECT("J"&amp;(V182+70))="X"),1,0)+IF(AND(INDIRECT("K"&amp;(T182+70))="X",INDIRECT("K"&amp;(U182+70))="X",INDIRECT("K"&amp;(V182+70))="X"),1,0)+IF(AND(INDIRECT("L"&amp;(T182+70))="X",INDIRECT("L"&amp;(U182+70))="X",INDIRECT("L"&amp;(V182+70))="X"),1,0)+IF(AND(INDIRECT("M"&amp;(T182+70))="X",INDIRECT("M"&amp;(U182+70))="X",INDIRECT("M"&amp;(V182+70))="X"),1,0)+IF(AND(INDIRECT("N"&amp;(T182+70))="X",INDIRECT("N"&amp;(U182+70))="X",INDIRECT("N"&amp;(V182+70))="X"),1,0)+IF(AND(INDIRECT("O"&amp;(T182+70))="X",INDIRECT("O"&amp;(U182+70))="X",INDIRECT("O"&amp;(V182+70))="X"),1,0)+IF(AND(INDIRECT("P"&amp;(T182+70))="X",INDIRECT("P"&amp;(U182+70))="X",INDIRECT("P"&amp;(V182+70))="X"),1,0)+IF(AND(INDIRECT("Q"&amp;(T182+70))="X",INDIRECT("Q"&amp;(U182+70))="X",INDIRECT("Q"&amp;(V182+70))="X"),1,0)</f>
        <v>0</v>
      </c>
    </row>
    <row r="183" spans="20:23" x14ac:dyDescent="0.3">
      <c r="T183">
        <v>2</v>
      </c>
      <c r="U183">
        <v>8</v>
      </c>
      <c r="V183">
        <v>14</v>
      </c>
      <c r="W183" cm="1">
        <f t="array" aca="1" ref="W183" ca="1">IF(AND(INDIRECT("B"&amp;(T183+70))="X",INDIRECT("B"&amp;(U183+70))="X",INDIRECT("B"&amp;(V183+70))="X"),1,0)+IF(AND(INDIRECT("C"&amp;(T183+70))="X",INDIRECT("C"&amp;(U183+70))="X",INDIRECT("C"&amp;(V183+70))="X"),1,0)+IF(AND(INDIRECT("D"&amp;(T183+70))="X",INDIRECT("D"&amp;(U183+70))="X",INDIRECT("D"&amp;(V183+70))="X"),1,0)+IF(AND(INDIRECT("E"&amp;(T183+70))="X",INDIRECT("E"&amp;(U183+70))="X",INDIRECT("E"&amp;(V183+70))="X"),1,0)+IF(AND(INDIRECT("F"&amp;(T183+70))="X",INDIRECT("F"&amp;(U183+70))="X",INDIRECT("F"&amp;(V183+70))="X"),1,0)+IF(AND(INDIRECT("G"&amp;(T183+70))="X",INDIRECT("G"&amp;(U183+70))="X",INDIRECT("G"&amp;(V183+70))="X"),1,0)+IF(AND(INDIRECT("H"&amp;(T183+70))="X",INDIRECT("H"&amp;(U183+70))="X",INDIRECT("H"&amp;(V183+70))="X"),1,0)+IF(AND(INDIRECT("I"&amp;(T183+70))="X",INDIRECT("I"&amp;(U183+70))="X",INDIRECT("I"&amp;(V183+70))="X"),1,0)+IF(AND(INDIRECT("J"&amp;(T183+70))="X",INDIRECT("J"&amp;(U183+70))="X",INDIRECT("J"&amp;(V183+70))="X"),1,0)+IF(AND(INDIRECT("K"&amp;(T183+70))="X",INDIRECT("K"&amp;(U183+70))="X",INDIRECT("K"&amp;(V183+70))="X"),1,0)+IF(AND(INDIRECT("L"&amp;(T183+70))="X",INDIRECT("L"&amp;(U183+70))="X",INDIRECT("L"&amp;(V183+70))="X"),1,0)+IF(AND(INDIRECT("M"&amp;(T183+70))="X",INDIRECT("M"&amp;(U183+70))="X",INDIRECT("M"&amp;(V183+70))="X"),1,0)+IF(AND(INDIRECT("N"&amp;(T183+70))="X",INDIRECT("N"&amp;(U183+70))="X",INDIRECT("N"&amp;(V183+70))="X"),1,0)+IF(AND(INDIRECT("O"&amp;(T183+70))="X",INDIRECT("O"&amp;(U183+70))="X",INDIRECT("O"&amp;(V183+70))="X"),1,0)+IF(AND(INDIRECT("P"&amp;(T183+70))="X",INDIRECT("P"&amp;(U183+70))="X",INDIRECT("P"&amp;(V183+70))="X"),1,0)+IF(AND(INDIRECT("Q"&amp;(T183+70))="X",INDIRECT("Q"&amp;(U183+70))="X",INDIRECT("Q"&amp;(V183+70))="X"),1,0)</f>
        <v>1</v>
      </c>
    </row>
    <row r="184" spans="20:23" x14ac:dyDescent="0.3">
      <c r="T184">
        <v>2</v>
      </c>
      <c r="U184">
        <v>9</v>
      </c>
      <c r="V184">
        <v>10</v>
      </c>
      <c r="W184" cm="1">
        <f t="array" aca="1" ref="W184" ca="1">IF(AND(INDIRECT("B"&amp;(T184+70))="X",INDIRECT("B"&amp;(U184+70))="X",INDIRECT("B"&amp;(V184+70))="X"),1,0)+IF(AND(INDIRECT("C"&amp;(T184+70))="X",INDIRECT("C"&amp;(U184+70))="X",INDIRECT("C"&amp;(V184+70))="X"),1,0)+IF(AND(INDIRECT("D"&amp;(T184+70))="X",INDIRECT("D"&amp;(U184+70))="X",INDIRECT("D"&amp;(V184+70))="X"),1,0)+IF(AND(INDIRECT("E"&amp;(T184+70))="X",INDIRECT("E"&amp;(U184+70))="X",INDIRECT("E"&amp;(V184+70))="X"),1,0)+IF(AND(INDIRECT("F"&amp;(T184+70))="X",INDIRECT("F"&amp;(U184+70))="X",INDIRECT("F"&amp;(V184+70))="X"),1,0)+IF(AND(INDIRECT("G"&amp;(T184+70))="X",INDIRECT("G"&amp;(U184+70))="X",INDIRECT("G"&amp;(V184+70))="X"),1,0)+IF(AND(INDIRECT("H"&amp;(T184+70))="X",INDIRECT("H"&amp;(U184+70))="X",INDIRECT("H"&amp;(V184+70))="X"),1,0)+IF(AND(INDIRECT("I"&amp;(T184+70))="X",INDIRECT("I"&amp;(U184+70))="X",INDIRECT("I"&amp;(V184+70))="X"),1,0)+IF(AND(INDIRECT("J"&amp;(T184+70))="X",INDIRECT("J"&amp;(U184+70))="X",INDIRECT("J"&amp;(V184+70))="X"),1,0)+IF(AND(INDIRECT("K"&amp;(T184+70))="X",INDIRECT("K"&amp;(U184+70))="X",INDIRECT("K"&amp;(V184+70))="X"),1,0)+IF(AND(INDIRECT("L"&amp;(T184+70))="X",INDIRECT("L"&amp;(U184+70))="X",INDIRECT("L"&amp;(V184+70))="X"),1,0)+IF(AND(INDIRECT("M"&amp;(T184+70))="X",INDIRECT("M"&amp;(U184+70))="X",INDIRECT("M"&amp;(V184+70))="X"),1,0)+IF(AND(INDIRECT("N"&amp;(T184+70))="X",INDIRECT("N"&amp;(U184+70))="X",INDIRECT("N"&amp;(V184+70))="X"),1,0)+IF(AND(INDIRECT("O"&amp;(T184+70))="X",INDIRECT("O"&amp;(U184+70))="X",INDIRECT("O"&amp;(V184+70))="X"),1,0)+IF(AND(INDIRECT("P"&amp;(T184+70))="X",INDIRECT("P"&amp;(U184+70))="X",INDIRECT("P"&amp;(V184+70))="X"),1,0)+IF(AND(INDIRECT("Q"&amp;(T184+70))="X",INDIRECT("Q"&amp;(U184+70))="X",INDIRECT("Q"&amp;(V184+70))="X"),1,0)</f>
        <v>1</v>
      </c>
    </row>
    <row r="185" spans="20:23" x14ac:dyDescent="0.3">
      <c r="T185">
        <v>2</v>
      </c>
      <c r="U185">
        <v>9</v>
      </c>
      <c r="V185">
        <v>11</v>
      </c>
      <c r="W185" cm="1">
        <f t="array" aca="1" ref="W185" ca="1">IF(AND(INDIRECT("B"&amp;(T185+70))="X",INDIRECT("B"&amp;(U185+70))="X",INDIRECT("B"&amp;(V185+70))="X"),1,0)+IF(AND(INDIRECT("C"&amp;(T185+70))="X",INDIRECT("C"&amp;(U185+70))="X",INDIRECT("C"&amp;(V185+70))="X"),1,0)+IF(AND(INDIRECT("D"&amp;(T185+70))="X",INDIRECT("D"&amp;(U185+70))="X",INDIRECT("D"&amp;(V185+70))="X"),1,0)+IF(AND(INDIRECT("E"&amp;(T185+70))="X",INDIRECT("E"&amp;(U185+70))="X",INDIRECT("E"&amp;(V185+70))="X"),1,0)+IF(AND(INDIRECT("F"&amp;(T185+70))="X",INDIRECT("F"&amp;(U185+70))="X",INDIRECT("F"&amp;(V185+70))="X"),1,0)+IF(AND(INDIRECT("G"&amp;(T185+70))="X",INDIRECT("G"&amp;(U185+70))="X",INDIRECT("G"&amp;(V185+70))="X"),1,0)+IF(AND(INDIRECT("H"&amp;(T185+70))="X",INDIRECT("H"&amp;(U185+70))="X",INDIRECT("H"&amp;(V185+70))="X"),1,0)+IF(AND(INDIRECT("I"&amp;(T185+70))="X",INDIRECT("I"&amp;(U185+70))="X",INDIRECT("I"&amp;(V185+70))="X"),1,0)+IF(AND(INDIRECT("J"&amp;(T185+70))="X",INDIRECT("J"&amp;(U185+70))="X",INDIRECT("J"&amp;(V185+70))="X"),1,0)+IF(AND(INDIRECT("K"&amp;(T185+70))="X",INDIRECT("K"&amp;(U185+70))="X",INDIRECT("K"&amp;(V185+70))="X"),1,0)+IF(AND(INDIRECT("L"&amp;(T185+70))="X",INDIRECT("L"&amp;(U185+70))="X",INDIRECT("L"&amp;(V185+70))="X"),1,0)+IF(AND(INDIRECT("M"&amp;(T185+70))="X",INDIRECT("M"&amp;(U185+70))="X",INDIRECT("M"&amp;(V185+70))="X"),1,0)+IF(AND(INDIRECT("N"&amp;(T185+70))="X",INDIRECT("N"&amp;(U185+70))="X",INDIRECT("N"&amp;(V185+70))="X"),1,0)+IF(AND(INDIRECT("O"&amp;(T185+70))="X",INDIRECT("O"&amp;(U185+70))="X",INDIRECT("O"&amp;(V185+70))="X"),1,0)+IF(AND(INDIRECT("P"&amp;(T185+70))="X",INDIRECT("P"&amp;(U185+70))="X",INDIRECT("P"&amp;(V185+70))="X"),1,0)+IF(AND(INDIRECT("Q"&amp;(T185+70))="X",INDIRECT("Q"&amp;(U185+70))="X",INDIRECT("Q"&amp;(V185+70))="X"),1,0)</f>
        <v>0</v>
      </c>
    </row>
    <row r="186" spans="20:23" x14ac:dyDescent="0.3">
      <c r="T186">
        <v>2</v>
      </c>
      <c r="U186">
        <v>9</v>
      </c>
      <c r="V186">
        <v>12</v>
      </c>
      <c r="W186" cm="1">
        <f t="array" aca="1" ref="W186" ca="1">IF(AND(INDIRECT("B"&amp;(T186+70))="X",INDIRECT("B"&amp;(U186+70))="X",INDIRECT("B"&amp;(V186+70))="X"),1,0)+IF(AND(INDIRECT("C"&amp;(T186+70))="X",INDIRECT("C"&amp;(U186+70))="X",INDIRECT("C"&amp;(V186+70))="X"),1,0)+IF(AND(INDIRECT("D"&amp;(T186+70))="X",INDIRECT("D"&amp;(U186+70))="X",INDIRECT("D"&amp;(V186+70))="X"),1,0)+IF(AND(INDIRECT("E"&amp;(T186+70))="X",INDIRECT("E"&amp;(U186+70))="X",INDIRECT("E"&amp;(V186+70))="X"),1,0)+IF(AND(INDIRECT("F"&amp;(T186+70))="X",INDIRECT("F"&amp;(U186+70))="X",INDIRECT("F"&amp;(V186+70))="X"),1,0)+IF(AND(INDIRECT("G"&amp;(T186+70))="X",INDIRECT("G"&amp;(U186+70))="X",INDIRECT("G"&amp;(V186+70))="X"),1,0)+IF(AND(INDIRECT("H"&amp;(T186+70))="X",INDIRECT("H"&amp;(U186+70))="X",INDIRECT("H"&amp;(V186+70))="X"),1,0)+IF(AND(INDIRECT("I"&amp;(T186+70))="X",INDIRECT("I"&amp;(U186+70))="X",INDIRECT("I"&amp;(V186+70))="X"),1,0)+IF(AND(INDIRECT("J"&amp;(T186+70))="X",INDIRECT("J"&amp;(U186+70))="X",INDIRECT("J"&amp;(V186+70))="X"),1,0)+IF(AND(INDIRECT("K"&amp;(T186+70))="X",INDIRECT("K"&amp;(U186+70))="X",INDIRECT("K"&amp;(V186+70))="X"),1,0)+IF(AND(INDIRECT("L"&amp;(T186+70))="X",INDIRECT("L"&amp;(U186+70))="X",INDIRECT("L"&amp;(V186+70))="X"),1,0)+IF(AND(INDIRECT("M"&amp;(T186+70))="X",INDIRECT("M"&amp;(U186+70))="X",INDIRECT("M"&amp;(V186+70))="X"),1,0)+IF(AND(INDIRECT("N"&amp;(T186+70))="X",INDIRECT("N"&amp;(U186+70))="X",INDIRECT("N"&amp;(V186+70))="X"),1,0)+IF(AND(INDIRECT("O"&amp;(T186+70))="X",INDIRECT("O"&amp;(U186+70))="X",INDIRECT("O"&amp;(V186+70))="X"),1,0)+IF(AND(INDIRECT("P"&amp;(T186+70))="X",INDIRECT("P"&amp;(U186+70))="X",INDIRECT("P"&amp;(V186+70))="X"),1,0)+IF(AND(INDIRECT("Q"&amp;(T186+70))="X",INDIRECT("Q"&amp;(U186+70))="X",INDIRECT("Q"&amp;(V186+70))="X"),1,0)</f>
        <v>0</v>
      </c>
    </row>
    <row r="187" spans="20:23" x14ac:dyDescent="0.3">
      <c r="T187">
        <v>2</v>
      </c>
      <c r="U187">
        <v>9</v>
      </c>
      <c r="V187">
        <v>13</v>
      </c>
      <c r="W187" cm="1">
        <f t="array" aca="1" ref="W187" ca="1">IF(AND(INDIRECT("B"&amp;(T187+70))="X",INDIRECT("B"&amp;(U187+70))="X",INDIRECT("B"&amp;(V187+70))="X"),1,0)+IF(AND(INDIRECT("C"&amp;(T187+70))="X",INDIRECT("C"&amp;(U187+70))="X",INDIRECT("C"&amp;(V187+70))="X"),1,0)+IF(AND(INDIRECT("D"&amp;(T187+70))="X",INDIRECT("D"&amp;(U187+70))="X",INDIRECT("D"&amp;(V187+70))="X"),1,0)+IF(AND(INDIRECT("E"&amp;(T187+70))="X",INDIRECT("E"&amp;(U187+70))="X",INDIRECT("E"&amp;(V187+70))="X"),1,0)+IF(AND(INDIRECT("F"&amp;(T187+70))="X",INDIRECT("F"&amp;(U187+70))="X",INDIRECT("F"&amp;(V187+70))="X"),1,0)+IF(AND(INDIRECT("G"&amp;(T187+70))="X",INDIRECT("G"&amp;(U187+70))="X",INDIRECT("G"&amp;(V187+70))="X"),1,0)+IF(AND(INDIRECT("H"&amp;(T187+70))="X",INDIRECT("H"&amp;(U187+70))="X",INDIRECT("H"&amp;(V187+70))="X"),1,0)+IF(AND(INDIRECT("I"&amp;(T187+70))="X",INDIRECT("I"&amp;(U187+70))="X",INDIRECT("I"&amp;(V187+70))="X"),1,0)+IF(AND(INDIRECT("J"&amp;(T187+70))="X",INDIRECT("J"&amp;(U187+70))="X",INDIRECT("J"&amp;(V187+70))="X"),1,0)+IF(AND(INDIRECT("K"&amp;(T187+70))="X",INDIRECT("K"&amp;(U187+70))="X",INDIRECT("K"&amp;(V187+70))="X"),1,0)+IF(AND(INDIRECT("L"&amp;(T187+70))="X",INDIRECT("L"&amp;(U187+70))="X",INDIRECT("L"&amp;(V187+70))="X"),1,0)+IF(AND(INDIRECT("M"&amp;(T187+70))="X",INDIRECT("M"&amp;(U187+70))="X",INDIRECT("M"&amp;(V187+70))="X"),1,0)+IF(AND(INDIRECT("N"&amp;(T187+70))="X",INDIRECT("N"&amp;(U187+70))="X",INDIRECT("N"&amp;(V187+70))="X"),1,0)+IF(AND(INDIRECT("O"&amp;(T187+70))="X",INDIRECT("O"&amp;(U187+70))="X",INDIRECT("O"&amp;(V187+70))="X"),1,0)+IF(AND(INDIRECT("P"&amp;(T187+70))="X",INDIRECT("P"&amp;(U187+70))="X",INDIRECT("P"&amp;(V187+70))="X"),1,0)+IF(AND(INDIRECT("Q"&amp;(T187+70))="X",INDIRECT("Q"&amp;(U187+70))="X",INDIRECT("Q"&amp;(V187+70))="X"),1,0)</f>
        <v>1</v>
      </c>
    </row>
    <row r="188" spans="20:23" x14ac:dyDescent="0.3">
      <c r="T188">
        <v>2</v>
      </c>
      <c r="U188">
        <v>9</v>
      </c>
      <c r="V188">
        <v>14</v>
      </c>
      <c r="W188" cm="1">
        <f t="array" aca="1" ref="W188" ca="1">IF(AND(INDIRECT("B"&amp;(T188+70))="X",INDIRECT("B"&amp;(U188+70))="X",INDIRECT("B"&amp;(V188+70))="X"),1,0)+IF(AND(INDIRECT("C"&amp;(T188+70))="X",INDIRECT("C"&amp;(U188+70))="X",INDIRECT("C"&amp;(V188+70))="X"),1,0)+IF(AND(INDIRECT("D"&amp;(T188+70))="X",INDIRECT("D"&amp;(U188+70))="X",INDIRECT("D"&amp;(V188+70))="X"),1,0)+IF(AND(INDIRECT("E"&amp;(T188+70))="X",INDIRECT("E"&amp;(U188+70))="X",INDIRECT("E"&amp;(V188+70))="X"),1,0)+IF(AND(INDIRECT("F"&amp;(T188+70))="X",INDIRECT("F"&amp;(U188+70))="X",INDIRECT("F"&amp;(V188+70))="X"),1,0)+IF(AND(INDIRECT("G"&amp;(T188+70))="X",INDIRECT("G"&amp;(U188+70))="X",INDIRECT("G"&amp;(V188+70))="X"),1,0)+IF(AND(INDIRECT("H"&amp;(T188+70))="X",INDIRECT("H"&amp;(U188+70))="X",INDIRECT("H"&amp;(V188+70))="X"),1,0)+IF(AND(INDIRECT("I"&amp;(T188+70))="X",INDIRECT("I"&amp;(U188+70))="X",INDIRECT("I"&amp;(V188+70))="X"),1,0)+IF(AND(INDIRECT("J"&amp;(T188+70))="X",INDIRECT("J"&amp;(U188+70))="X",INDIRECT("J"&amp;(V188+70))="X"),1,0)+IF(AND(INDIRECT("K"&amp;(T188+70))="X",INDIRECT("K"&amp;(U188+70))="X",INDIRECT("K"&amp;(V188+70))="X"),1,0)+IF(AND(INDIRECT("L"&amp;(T188+70))="X",INDIRECT("L"&amp;(U188+70))="X",INDIRECT("L"&amp;(V188+70))="X"),1,0)+IF(AND(INDIRECT("M"&amp;(T188+70))="X",INDIRECT("M"&amp;(U188+70))="X",INDIRECT("M"&amp;(V188+70))="X"),1,0)+IF(AND(INDIRECT("N"&amp;(T188+70))="X",INDIRECT("N"&amp;(U188+70))="X",INDIRECT("N"&amp;(V188+70))="X"),1,0)+IF(AND(INDIRECT("O"&amp;(T188+70))="X",INDIRECT("O"&amp;(U188+70))="X",INDIRECT("O"&amp;(V188+70))="X"),1,0)+IF(AND(INDIRECT("P"&amp;(T188+70))="X",INDIRECT("P"&amp;(U188+70))="X",INDIRECT("P"&amp;(V188+70))="X"),1,0)+IF(AND(INDIRECT("Q"&amp;(T188+70))="X",INDIRECT("Q"&amp;(U188+70))="X",INDIRECT("Q"&amp;(V188+70))="X"),1,0)</f>
        <v>0</v>
      </c>
    </row>
    <row r="189" spans="20:23" x14ac:dyDescent="0.3">
      <c r="T189">
        <v>2</v>
      </c>
      <c r="U189">
        <v>10</v>
      </c>
      <c r="V189">
        <v>11</v>
      </c>
      <c r="W189" cm="1">
        <f t="array" aca="1" ref="W189" ca="1">IF(AND(INDIRECT("B"&amp;(T189+70))="X",INDIRECT("B"&amp;(U189+70))="X",INDIRECT("B"&amp;(V189+70))="X"),1,0)+IF(AND(INDIRECT("C"&amp;(T189+70))="X",INDIRECT("C"&amp;(U189+70))="X",INDIRECT("C"&amp;(V189+70))="X"),1,0)+IF(AND(INDIRECT("D"&amp;(T189+70))="X",INDIRECT("D"&amp;(U189+70))="X",INDIRECT("D"&amp;(V189+70))="X"),1,0)+IF(AND(INDIRECT("E"&amp;(T189+70))="X",INDIRECT("E"&amp;(U189+70))="X",INDIRECT("E"&amp;(V189+70))="X"),1,0)+IF(AND(INDIRECT("F"&amp;(T189+70))="X",INDIRECT("F"&amp;(U189+70))="X",INDIRECT("F"&amp;(V189+70))="X"),1,0)+IF(AND(INDIRECT("G"&amp;(T189+70))="X",INDIRECT("G"&amp;(U189+70))="X",INDIRECT("G"&amp;(V189+70))="X"),1,0)+IF(AND(INDIRECT("H"&amp;(T189+70))="X",INDIRECT("H"&amp;(U189+70))="X",INDIRECT("H"&amp;(V189+70))="X"),1,0)+IF(AND(INDIRECT("I"&amp;(T189+70))="X",INDIRECT("I"&amp;(U189+70))="X",INDIRECT("I"&amp;(V189+70))="X"),1,0)+IF(AND(INDIRECT("J"&amp;(T189+70))="X",INDIRECT("J"&amp;(U189+70))="X",INDIRECT("J"&amp;(V189+70))="X"),1,0)+IF(AND(INDIRECT("K"&amp;(T189+70))="X",INDIRECT("K"&amp;(U189+70))="X",INDIRECT("K"&amp;(V189+70))="X"),1,0)+IF(AND(INDIRECT("L"&amp;(T189+70))="X",INDIRECT("L"&amp;(U189+70))="X",INDIRECT("L"&amp;(V189+70))="X"),1,0)+IF(AND(INDIRECT("M"&amp;(T189+70))="X",INDIRECT("M"&amp;(U189+70))="X",INDIRECT("M"&amp;(V189+70))="X"),1,0)+IF(AND(INDIRECT("N"&amp;(T189+70))="X",INDIRECT("N"&amp;(U189+70))="X",INDIRECT("N"&amp;(V189+70))="X"),1,0)+IF(AND(INDIRECT("O"&amp;(T189+70))="X",INDIRECT("O"&amp;(U189+70))="X",INDIRECT("O"&amp;(V189+70))="X"),1,0)+IF(AND(INDIRECT("P"&amp;(T189+70))="X",INDIRECT("P"&amp;(U189+70))="X",INDIRECT("P"&amp;(V189+70))="X"),1,0)+IF(AND(INDIRECT("Q"&amp;(T189+70))="X",INDIRECT("Q"&amp;(U189+70))="X",INDIRECT("Q"&amp;(V189+70))="X"),1,0)</f>
        <v>0</v>
      </c>
    </row>
    <row r="190" spans="20:23" x14ac:dyDescent="0.3">
      <c r="T190">
        <v>2</v>
      </c>
      <c r="U190">
        <v>10</v>
      </c>
      <c r="V190">
        <v>12</v>
      </c>
      <c r="W190" cm="1">
        <f t="array" aca="1" ref="W190" ca="1">IF(AND(INDIRECT("B"&amp;(T190+70))="X",INDIRECT("B"&amp;(U190+70))="X",INDIRECT("B"&amp;(V190+70))="X"),1,0)+IF(AND(INDIRECT("C"&amp;(T190+70))="X",INDIRECT("C"&amp;(U190+70))="X",INDIRECT("C"&amp;(V190+70))="X"),1,0)+IF(AND(INDIRECT("D"&amp;(T190+70))="X",INDIRECT("D"&amp;(U190+70))="X",INDIRECT("D"&amp;(V190+70))="X"),1,0)+IF(AND(INDIRECT("E"&amp;(T190+70))="X",INDIRECT("E"&amp;(U190+70))="X",INDIRECT("E"&amp;(V190+70))="X"),1,0)+IF(AND(INDIRECT("F"&amp;(T190+70))="X",INDIRECT("F"&amp;(U190+70))="X",INDIRECT("F"&amp;(V190+70))="X"),1,0)+IF(AND(INDIRECT("G"&amp;(T190+70))="X",INDIRECT("G"&amp;(U190+70))="X",INDIRECT("G"&amp;(V190+70))="X"),1,0)+IF(AND(INDIRECT("H"&amp;(T190+70))="X",INDIRECT("H"&amp;(U190+70))="X",INDIRECT("H"&amp;(V190+70))="X"),1,0)+IF(AND(INDIRECT("I"&amp;(T190+70))="X",INDIRECT("I"&amp;(U190+70))="X",INDIRECT("I"&amp;(V190+70))="X"),1,0)+IF(AND(INDIRECT("J"&amp;(T190+70))="X",INDIRECT("J"&amp;(U190+70))="X",INDIRECT("J"&amp;(V190+70))="X"),1,0)+IF(AND(INDIRECT("K"&amp;(T190+70))="X",INDIRECT("K"&amp;(U190+70))="X",INDIRECT("K"&amp;(V190+70))="X"),1,0)+IF(AND(INDIRECT("L"&amp;(T190+70))="X",INDIRECT("L"&amp;(U190+70))="X",INDIRECT("L"&amp;(V190+70))="X"),1,0)+IF(AND(INDIRECT("M"&amp;(T190+70))="X",INDIRECT("M"&amp;(U190+70))="X",INDIRECT("M"&amp;(V190+70))="X"),1,0)+IF(AND(INDIRECT("N"&amp;(T190+70))="X",INDIRECT("N"&amp;(U190+70))="X",INDIRECT("N"&amp;(V190+70))="X"),1,0)+IF(AND(INDIRECT("O"&amp;(T190+70))="X",INDIRECT("O"&amp;(U190+70))="X",INDIRECT("O"&amp;(V190+70))="X"),1,0)+IF(AND(INDIRECT("P"&amp;(T190+70))="X",INDIRECT("P"&amp;(U190+70))="X",INDIRECT("P"&amp;(V190+70))="X"),1,0)+IF(AND(INDIRECT("Q"&amp;(T190+70))="X",INDIRECT("Q"&amp;(U190+70))="X",INDIRECT("Q"&amp;(V190+70))="X"),1,0)</f>
        <v>0</v>
      </c>
    </row>
    <row r="191" spans="20:23" x14ac:dyDescent="0.3">
      <c r="T191">
        <v>2</v>
      </c>
      <c r="U191">
        <v>10</v>
      </c>
      <c r="V191">
        <v>13</v>
      </c>
      <c r="W191" cm="1">
        <f t="array" aca="1" ref="W191" ca="1">IF(AND(INDIRECT("B"&amp;(T191+70))="X",INDIRECT("B"&amp;(U191+70))="X",INDIRECT("B"&amp;(V191+70))="X"),1,0)+IF(AND(INDIRECT("C"&amp;(T191+70))="X",INDIRECT("C"&amp;(U191+70))="X",INDIRECT("C"&amp;(V191+70))="X"),1,0)+IF(AND(INDIRECT("D"&amp;(T191+70))="X",INDIRECT("D"&amp;(U191+70))="X",INDIRECT("D"&amp;(V191+70))="X"),1,0)+IF(AND(INDIRECT("E"&amp;(T191+70))="X",INDIRECT("E"&amp;(U191+70))="X",INDIRECT("E"&amp;(V191+70))="X"),1,0)+IF(AND(INDIRECT("F"&amp;(T191+70))="X",INDIRECT("F"&amp;(U191+70))="X",INDIRECT("F"&amp;(V191+70))="X"),1,0)+IF(AND(INDIRECT("G"&amp;(T191+70))="X",INDIRECT("G"&amp;(U191+70))="X",INDIRECT("G"&amp;(V191+70))="X"),1,0)+IF(AND(INDIRECT("H"&amp;(T191+70))="X",INDIRECT("H"&amp;(U191+70))="X",INDIRECT("H"&amp;(V191+70))="X"),1,0)+IF(AND(INDIRECT("I"&amp;(T191+70))="X",INDIRECT("I"&amp;(U191+70))="X",INDIRECT("I"&amp;(V191+70))="X"),1,0)+IF(AND(INDIRECT("J"&amp;(T191+70))="X",INDIRECT("J"&amp;(U191+70))="X",INDIRECT("J"&amp;(V191+70))="X"),1,0)+IF(AND(INDIRECT("K"&amp;(T191+70))="X",INDIRECT("K"&amp;(U191+70))="X",INDIRECT("K"&amp;(V191+70))="X"),1,0)+IF(AND(INDIRECT("L"&amp;(T191+70))="X",INDIRECT("L"&amp;(U191+70))="X",INDIRECT("L"&amp;(V191+70))="X"),1,0)+IF(AND(INDIRECT("M"&amp;(T191+70))="X",INDIRECT("M"&amp;(U191+70))="X",INDIRECT("M"&amp;(V191+70))="X"),1,0)+IF(AND(INDIRECT("N"&amp;(T191+70))="X",INDIRECT("N"&amp;(U191+70))="X",INDIRECT("N"&amp;(V191+70))="X"),1,0)+IF(AND(INDIRECT("O"&amp;(T191+70))="X",INDIRECT("O"&amp;(U191+70))="X",INDIRECT("O"&amp;(V191+70))="X"),1,0)+IF(AND(INDIRECT("P"&amp;(T191+70))="X",INDIRECT("P"&amp;(U191+70))="X",INDIRECT("P"&amp;(V191+70))="X"),1,0)+IF(AND(INDIRECT("Q"&amp;(T191+70))="X",INDIRECT("Q"&amp;(U191+70))="X",INDIRECT("Q"&amp;(V191+70))="X"),1,0)</f>
        <v>0</v>
      </c>
    </row>
    <row r="192" spans="20:23" x14ac:dyDescent="0.3">
      <c r="T192">
        <v>2</v>
      </c>
      <c r="U192">
        <v>10</v>
      </c>
      <c r="V192">
        <v>14</v>
      </c>
      <c r="W192" cm="1">
        <f t="array" aca="1" ref="W192" ca="1">IF(AND(INDIRECT("B"&amp;(T192+70))="X",INDIRECT("B"&amp;(U192+70))="X",INDIRECT("B"&amp;(V192+70))="X"),1,0)+IF(AND(INDIRECT("C"&amp;(T192+70))="X",INDIRECT("C"&amp;(U192+70))="X",INDIRECT("C"&amp;(V192+70))="X"),1,0)+IF(AND(INDIRECT("D"&amp;(T192+70))="X",INDIRECT("D"&amp;(U192+70))="X",INDIRECT("D"&amp;(V192+70))="X"),1,0)+IF(AND(INDIRECT("E"&amp;(T192+70))="X",INDIRECT("E"&amp;(U192+70))="X",INDIRECT("E"&amp;(V192+70))="X"),1,0)+IF(AND(INDIRECT("F"&amp;(T192+70))="X",INDIRECT("F"&amp;(U192+70))="X",INDIRECT("F"&amp;(V192+70))="X"),1,0)+IF(AND(INDIRECT("G"&amp;(T192+70))="X",INDIRECT("G"&amp;(U192+70))="X",INDIRECT("G"&amp;(V192+70))="X"),1,0)+IF(AND(INDIRECT("H"&amp;(T192+70))="X",INDIRECT("H"&amp;(U192+70))="X",INDIRECT("H"&amp;(V192+70))="X"),1,0)+IF(AND(INDIRECT("I"&amp;(T192+70))="X",INDIRECT("I"&amp;(U192+70))="X",INDIRECT("I"&amp;(V192+70))="X"),1,0)+IF(AND(INDIRECT("J"&amp;(T192+70))="X",INDIRECT("J"&amp;(U192+70))="X",INDIRECT("J"&amp;(V192+70))="X"),1,0)+IF(AND(INDIRECT("K"&amp;(T192+70))="X",INDIRECT("K"&amp;(U192+70))="X",INDIRECT("K"&amp;(V192+70))="X"),1,0)+IF(AND(INDIRECT("L"&amp;(T192+70))="X",INDIRECT("L"&amp;(U192+70))="X",INDIRECT("L"&amp;(V192+70))="X"),1,0)+IF(AND(INDIRECT("M"&amp;(T192+70))="X",INDIRECT("M"&amp;(U192+70))="X",INDIRECT("M"&amp;(V192+70))="X"),1,0)+IF(AND(INDIRECT("N"&amp;(T192+70))="X",INDIRECT("N"&amp;(U192+70))="X",INDIRECT("N"&amp;(V192+70))="X"),1,0)+IF(AND(INDIRECT("O"&amp;(T192+70))="X",INDIRECT("O"&amp;(U192+70))="X",INDIRECT("O"&amp;(V192+70))="X"),1,0)+IF(AND(INDIRECT("P"&amp;(T192+70))="X",INDIRECT("P"&amp;(U192+70))="X",INDIRECT("P"&amp;(V192+70))="X"),1,0)+IF(AND(INDIRECT("Q"&amp;(T192+70))="X",INDIRECT("Q"&amp;(U192+70))="X",INDIRECT("Q"&amp;(V192+70))="X"),1,0)</f>
        <v>0</v>
      </c>
    </row>
    <row r="193" spans="20:23" x14ac:dyDescent="0.3">
      <c r="T193">
        <v>2</v>
      </c>
      <c r="U193">
        <v>11</v>
      </c>
      <c r="V193">
        <v>12</v>
      </c>
      <c r="W193" cm="1">
        <f t="array" aca="1" ref="W193" ca="1">IF(AND(INDIRECT("B"&amp;(T193+70))="X",INDIRECT("B"&amp;(U193+70))="X",INDIRECT("B"&amp;(V193+70))="X"),1,0)+IF(AND(INDIRECT("C"&amp;(T193+70))="X",INDIRECT("C"&amp;(U193+70))="X",INDIRECT("C"&amp;(V193+70))="X"),1,0)+IF(AND(INDIRECT("D"&amp;(T193+70))="X",INDIRECT("D"&amp;(U193+70))="X",INDIRECT("D"&amp;(V193+70))="X"),1,0)+IF(AND(INDIRECT("E"&amp;(T193+70))="X",INDIRECT("E"&amp;(U193+70))="X",INDIRECT("E"&amp;(V193+70))="X"),1,0)+IF(AND(INDIRECT("F"&amp;(T193+70))="X",INDIRECT("F"&amp;(U193+70))="X",INDIRECT("F"&amp;(V193+70))="X"),1,0)+IF(AND(INDIRECT("G"&amp;(T193+70))="X",INDIRECT("G"&amp;(U193+70))="X",INDIRECT("G"&amp;(V193+70))="X"),1,0)+IF(AND(INDIRECT("H"&amp;(T193+70))="X",INDIRECT("H"&amp;(U193+70))="X",INDIRECT("H"&amp;(V193+70))="X"),1,0)+IF(AND(INDIRECT("I"&amp;(T193+70))="X",INDIRECT("I"&amp;(U193+70))="X",INDIRECT("I"&amp;(V193+70))="X"),1,0)+IF(AND(INDIRECT("J"&amp;(T193+70))="X",INDIRECT("J"&amp;(U193+70))="X",INDIRECT("J"&amp;(V193+70))="X"),1,0)+IF(AND(INDIRECT("K"&amp;(T193+70))="X",INDIRECT("K"&amp;(U193+70))="X",INDIRECT("K"&amp;(V193+70))="X"),1,0)+IF(AND(INDIRECT("L"&amp;(T193+70))="X",INDIRECT("L"&amp;(U193+70))="X",INDIRECT("L"&amp;(V193+70))="X"),1,0)+IF(AND(INDIRECT("M"&amp;(T193+70))="X",INDIRECT("M"&amp;(U193+70))="X",INDIRECT("M"&amp;(V193+70))="X"),1,0)+IF(AND(INDIRECT("N"&amp;(T193+70))="X",INDIRECT("N"&amp;(U193+70))="X",INDIRECT("N"&amp;(V193+70))="X"),1,0)+IF(AND(INDIRECT("O"&amp;(T193+70))="X",INDIRECT("O"&amp;(U193+70))="X",INDIRECT("O"&amp;(V193+70))="X"),1,0)+IF(AND(INDIRECT("P"&amp;(T193+70))="X",INDIRECT("P"&amp;(U193+70))="X",INDIRECT("P"&amp;(V193+70))="X"),1,0)+IF(AND(INDIRECT("Q"&amp;(T193+70))="X",INDIRECT("Q"&amp;(U193+70))="X",INDIRECT("Q"&amp;(V193+70))="X"),1,0)</f>
        <v>0</v>
      </c>
    </row>
    <row r="194" spans="20:23" x14ac:dyDescent="0.3">
      <c r="T194">
        <v>2</v>
      </c>
      <c r="U194">
        <v>11</v>
      </c>
      <c r="V194">
        <v>13</v>
      </c>
      <c r="W194" cm="1">
        <f t="array" aca="1" ref="W194" ca="1">IF(AND(INDIRECT("B"&amp;(T194+70))="X",INDIRECT("B"&amp;(U194+70))="X",INDIRECT("B"&amp;(V194+70))="X"),1,0)+IF(AND(INDIRECT("C"&amp;(T194+70))="X",INDIRECT("C"&amp;(U194+70))="X",INDIRECT("C"&amp;(V194+70))="X"),1,0)+IF(AND(INDIRECT("D"&amp;(T194+70))="X",INDIRECT("D"&amp;(U194+70))="X",INDIRECT("D"&amp;(V194+70))="X"),1,0)+IF(AND(INDIRECT("E"&amp;(T194+70))="X",INDIRECT("E"&amp;(U194+70))="X",INDIRECT("E"&amp;(V194+70))="X"),1,0)+IF(AND(INDIRECT("F"&amp;(T194+70))="X",INDIRECT("F"&amp;(U194+70))="X",INDIRECT("F"&amp;(V194+70))="X"),1,0)+IF(AND(INDIRECT("G"&amp;(T194+70))="X",INDIRECT("G"&amp;(U194+70))="X",INDIRECT("G"&amp;(V194+70))="X"),1,0)+IF(AND(INDIRECT("H"&amp;(T194+70))="X",INDIRECT("H"&amp;(U194+70))="X",INDIRECT("H"&amp;(V194+70))="X"),1,0)+IF(AND(INDIRECT("I"&amp;(T194+70))="X",INDIRECT("I"&amp;(U194+70))="X",INDIRECT("I"&amp;(V194+70))="X"),1,0)+IF(AND(INDIRECT("J"&amp;(T194+70))="X",INDIRECT("J"&amp;(U194+70))="X",INDIRECT("J"&amp;(V194+70))="X"),1,0)+IF(AND(INDIRECT("K"&amp;(T194+70))="X",INDIRECT("K"&amp;(U194+70))="X",INDIRECT("K"&amp;(V194+70))="X"),1,0)+IF(AND(INDIRECT("L"&amp;(T194+70))="X",INDIRECT("L"&amp;(U194+70))="X",INDIRECT("L"&amp;(V194+70))="X"),1,0)+IF(AND(INDIRECT("M"&amp;(T194+70))="X",INDIRECT("M"&amp;(U194+70))="X",INDIRECT("M"&amp;(V194+70))="X"),1,0)+IF(AND(INDIRECT("N"&amp;(T194+70))="X",INDIRECT("N"&amp;(U194+70))="X",INDIRECT("N"&amp;(V194+70))="X"),1,0)+IF(AND(INDIRECT("O"&amp;(T194+70))="X",INDIRECT("O"&amp;(U194+70))="X",INDIRECT("O"&amp;(V194+70))="X"),1,0)+IF(AND(INDIRECT("P"&amp;(T194+70))="X",INDIRECT("P"&amp;(U194+70))="X",INDIRECT("P"&amp;(V194+70))="X"),1,0)+IF(AND(INDIRECT("Q"&amp;(T194+70))="X",INDIRECT("Q"&amp;(U194+70))="X",INDIRECT("Q"&amp;(V194+70))="X"),1,0)</f>
        <v>0</v>
      </c>
    </row>
    <row r="195" spans="20:23" x14ac:dyDescent="0.3">
      <c r="T195">
        <v>2</v>
      </c>
      <c r="U195">
        <v>11</v>
      </c>
      <c r="V195">
        <v>14</v>
      </c>
      <c r="W195" cm="1">
        <f t="array" aca="1" ref="W195" ca="1">IF(AND(INDIRECT("B"&amp;(T195+70))="X",INDIRECT("B"&amp;(U195+70))="X",INDIRECT("B"&amp;(V195+70))="X"),1,0)+IF(AND(INDIRECT("C"&amp;(T195+70))="X",INDIRECT("C"&amp;(U195+70))="X",INDIRECT("C"&amp;(V195+70))="X"),1,0)+IF(AND(INDIRECT("D"&amp;(T195+70))="X",INDIRECT("D"&amp;(U195+70))="X",INDIRECT("D"&amp;(V195+70))="X"),1,0)+IF(AND(INDIRECT("E"&amp;(T195+70))="X",INDIRECT("E"&amp;(U195+70))="X",INDIRECT("E"&amp;(V195+70))="X"),1,0)+IF(AND(INDIRECT("F"&amp;(T195+70))="X",INDIRECT("F"&amp;(U195+70))="X",INDIRECT("F"&amp;(V195+70))="X"),1,0)+IF(AND(INDIRECT("G"&amp;(T195+70))="X",INDIRECT("G"&amp;(U195+70))="X",INDIRECT("G"&amp;(V195+70))="X"),1,0)+IF(AND(INDIRECT("H"&amp;(T195+70))="X",INDIRECT("H"&amp;(U195+70))="X",INDIRECT("H"&amp;(V195+70))="X"),1,0)+IF(AND(INDIRECT("I"&amp;(T195+70))="X",INDIRECT("I"&amp;(U195+70))="X",INDIRECT("I"&amp;(V195+70))="X"),1,0)+IF(AND(INDIRECT("J"&amp;(T195+70))="X",INDIRECT("J"&amp;(U195+70))="X",INDIRECT("J"&amp;(V195+70))="X"),1,0)+IF(AND(INDIRECT("K"&amp;(T195+70))="X",INDIRECT("K"&amp;(U195+70))="X",INDIRECT("K"&amp;(V195+70))="X"),1,0)+IF(AND(INDIRECT("L"&amp;(T195+70))="X",INDIRECT("L"&amp;(U195+70))="X",INDIRECT("L"&amp;(V195+70))="X"),1,0)+IF(AND(INDIRECT("M"&amp;(T195+70))="X",INDIRECT("M"&amp;(U195+70))="X",INDIRECT("M"&amp;(V195+70))="X"),1,0)+IF(AND(INDIRECT("N"&amp;(T195+70))="X",INDIRECT("N"&amp;(U195+70))="X",INDIRECT("N"&amp;(V195+70))="X"),1,0)+IF(AND(INDIRECT("O"&amp;(T195+70))="X",INDIRECT("O"&amp;(U195+70))="X",INDIRECT("O"&amp;(V195+70))="X"),1,0)+IF(AND(INDIRECT("P"&amp;(T195+70))="X",INDIRECT("P"&amp;(U195+70))="X",INDIRECT("P"&amp;(V195+70))="X"),1,0)+IF(AND(INDIRECT("Q"&amp;(T195+70))="X",INDIRECT("Q"&amp;(U195+70))="X",INDIRECT("Q"&amp;(V195+70))="X"),1,0)</f>
        <v>0</v>
      </c>
    </row>
    <row r="196" spans="20:23" x14ac:dyDescent="0.3">
      <c r="T196">
        <v>2</v>
      </c>
      <c r="U196">
        <v>12</v>
      </c>
      <c r="V196">
        <v>13</v>
      </c>
      <c r="W196" cm="1">
        <f t="array" aca="1" ref="W196" ca="1">IF(AND(INDIRECT("B"&amp;(T196+70))="X",INDIRECT("B"&amp;(U196+70))="X",INDIRECT("B"&amp;(V196+70))="X"),1,0)+IF(AND(INDIRECT("C"&amp;(T196+70))="X",INDIRECT("C"&amp;(U196+70))="X",INDIRECT("C"&amp;(V196+70))="X"),1,0)+IF(AND(INDIRECT("D"&amp;(T196+70))="X",INDIRECT("D"&amp;(U196+70))="X",INDIRECT("D"&amp;(V196+70))="X"),1,0)+IF(AND(INDIRECT("E"&amp;(T196+70))="X",INDIRECT("E"&amp;(U196+70))="X",INDIRECT("E"&amp;(V196+70))="X"),1,0)+IF(AND(INDIRECT("F"&amp;(T196+70))="X",INDIRECT("F"&amp;(U196+70))="X",INDIRECT("F"&amp;(V196+70))="X"),1,0)+IF(AND(INDIRECT("G"&amp;(T196+70))="X",INDIRECT("G"&amp;(U196+70))="X",INDIRECT("G"&amp;(V196+70))="X"),1,0)+IF(AND(INDIRECT("H"&amp;(T196+70))="X",INDIRECT("H"&amp;(U196+70))="X",INDIRECT("H"&amp;(V196+70))="X"),1,0)+IF(AND(INDIRECT("I"&amp;(T196+70))="X",INDIRECT("I"&amp;(U196+70))="X",INDIRECT("I"&amp;(V196+70))="X"),1,0)+IF(AND(INDIRECT("J"&amp;(T196+70))="X",INDIRECT("J"&amp;(U196+70))="X",INDIRECT("J"&amp;(V196+70))="X"),1,0)+IF(AND(INDIRECT("K"&amp;(T196+70))="X",INDIRECT("K"&amp;(U196+70))="X",INDIRECT("K"&amp;(V196+70))="X"),1,0)+IF(AND(INDIRECT("L"&amp;(T196+70))="X",INDIRECT("L"&amp;(U196+70))="X",INDIRECT("L"&amp;(V196+70))="X"),1,0)+IF(AND(INDIRECT("M"&amp;(T196+70))="X",INDIRECT("M"&amp;(U196+70))="X",INDIRECT("M"&amp;(V196+70))="X"),1,0)+IF(AND(INDIRECT("N"&amp;(T196+70))="X",INDIRECT("N"&amp;(U196+70))="X",INDIRECT("N"&amp;(V196+70))="X"),1,0)+IF(AND(INDIRECT("O"&amp;(T196+70))="X",INDIRECT("O"&amp;(U196+70))="X",INDIRECT("O"&amp;(V196+70))="X"),1,0)+IF(AND(INDIRECT("P"&amp;(T196+70))="X",INDIRECT("P"&amp;(U196+70))="X",INDIRECT("P"&amp;(V196+70))="X"),1,0)+IF(AND(INDIRECT("Q"&amp;(T196+70))="X",INDIRECT("Q"&amp;(U196+70))="X",INDIRECT("Q"&amp;(V196+70))="X"),1,0)</f>
        <v>0</v>
      </c>
    </row>
    <row r="197" spans="20:23" x14ac:dyDescent="0.3">
      <c r="T197">
        <v>2</v>
      </c>
      <c r="U197">
        <v>12</v>
      </c>
      <c r="V197">
        <v>14</v>
      </c>
      <c r="W197" cm="1">
        <f t="array" aca="1" ref="W197" ca="1">IF(AND(INDIRECT("B"&amp;(T197+70))="X",INDIRECT("B"&amp;(U197+70))="X",INDIRECT("B"&amp;(V197+70))="X"),1,0)+IF(AND(INDIRECT("C"&amp;(T197+70))="X",INDIRECT("C"&amp;(U197+70))="X",INDIRECT("C"&amp;(V197+70))="X"),1,0)+IF(AND(INDIRECT("D"&amp;(T197+70))="X",INDIRECT("D"&amp;(U197+70))="X",INDIRECT("D"&amp;(V197+70))="X"),1,0)+IF(AND(INDIRECT("E"&amp;(T197+70))="X",INDIRECT("E"&amp;(U197+70))="X",INDIRECT("E"&amp;(V197+70))="X"),1,0)+IF(AND(INDIRECT("F"&amp;(T197+70))="X",INDIRECT("F"&amp;(U197+70))="X",INDIRECT("F"&amp;(V197+70))="X"),1,0)+IF(AND(INDIRECT("G"&amp;(T197+70))="X",INDIRECT("G"&amp;(U197+70))="X",INDIRECT("G"&amp;(V197+70))="X"),1,0)+IF(AND(INDIRECT("H"&amp;(T197+70))="X",INDIRECT("H"&amp;(U197+70))="X",INDIRECT("H"&amp;(V197+70))="X"),1,0)+IF(AND(INDIRECT("I"&amp;(T197+70))="X",INDIRECT("I"&amp;(U197+70))="X",INDIRECT("I"&amp;(V197+70))="X"),1,0)+IF(AND(INDIRECT("J"&amp;(T197+70))="X",INDIRECT("J"&amp;(U197+70))="X",INDIRECT("J"&amp;(V197+70))="X"),1,0)+IF(AND(INDIRECT("K"&amp;(T197+70))="X",INDIRECT("K"&amp;(U197+70))="X",INDIRECT("K"&amp;(V197+70))="X"),1,0)+IF(AND(INDIRECT("L"&amp;(T197+70))="X",INDIRECT("L"&amp;(U197+70))="X",INDIRECT("L"&amp;(V197+70))="X"),1,0)+IF(AND(INDIRECT("M"&amp;(T197+70))="X",INDIRECT("M"&amp;(U197+70))="X",INDIRECT("M"&amp;(V197+70))="X"),1,0)+IF(AND(INDIRECT("N"&amp;(T197+70))="X",INDIRECT("N"&amp;(U197+70))="X",INDIRECT("N"&amp;(V197+70))="X"),1,0)+IF(AND(INDIRECT("O"&amp;(T197+70))="X",INDIRECT("O"&amp;(U197+70))="X",INDIRECT("O"&amp;(V197+70))="X"),1,0)+IF(AND(INDIRECT("P"&amp;(T197+70))="X",INDIRECT("P"&amp;(U197+70))="X",INDIRECT("P"&amp;(V197+70))="X"),1,0)+IF(AND(INDIRECT("Q"&amp;(T197+70))="X",INDIRECT("Q"&amp;(U197+70))="X",INDIRECT("Q"&amp;(V197+70))="X"),1,0)</f>
        <v>1</v>
      </c>
    </row>
    <row r="198" spans="20:23" x14ac:dyDescent="0.3">
      <c r="T198">
        <v>2</v>
      </c>
      <c r="U198">
        <v>13</v>
      </c>
      <c r="V198">
        <v>14</v>
      </c>
      <c r="W198" cm="1">
        <f t="array" aca="1" ref="W198" ca="1">IF(AND(INDIRECT("B"&amp;(T198+70))="X",INDIRECT("B"&amp;(U198+70))="X",INDIRECT("B"&amp;(V198+70))="X"),1,0)+IF(AND(INDIRECT("C"&amp;(T198+70))="X",INDIRECT("C"&amp;(U198+70))="X",INDIRECT("C"&amp;(V198+70))="X"),1,0)+IF(AND(INDIRECT("D"&amp;(T198+70))="X",INDIRECT("D"&amp;(U198+70))="X",INDIRECT("D"&amp;(V198+70))="X"),1,0)+IF(AND(INDIRECT("E"&amp;(T198+70))="X",INDIRECT("E"&amp;(U198+70))="X",INDIRECT("E"&amp;(V198+70))="X"),1,0)+IF(AND(INDIRECT("F"&amp;(T198+70))="X",INDIRECT("F"&amp;(U198+70))="X",INDIRECT("F"&amp;(V198+70))="X"),1,0)+IF(AND(INDIRECT("G"&amp;(T198+70))="X",INDIRECT("G"&amp;(U198+70))="X",INDIRECT("G"&amp;(V198+70))="X"),1,0)+IF(AND(INDIRECT("H"&amp;(T198+70))="X",INDIRECT("H"&amp;(U198+70))="X",INDIRECT("H"&amp;(V198+70))="X"),1,0)+IF(AND(INDIRECT("I"&amp;(T198+70))="X",INDIRECT("I"&amp;(U198+70))="X",INDIRECT("I"&amp;(V198+70))="X"),1,0)+IF(AND(INDIRECT("J"&amp;(T198+70))="X",INDIRECT("J"&amp;(U198+70))="X",INDIRECT("J"&amp;(V198+70))="X"),1,0)+IF(AND(INDIRECT("K"&amp;(T198+70))="X",INDIRECT("K"&amp;(U198+70))="X",INDIRECT("K"&amp;(V198+70))="X"),1,0)+IF(AND(INDIRECT("L"&amp;(T198+70))="X",INDIRECT("L"&amp;(U198+70))="X",INDIRECT("L"&amp;(V198+70))="X"),1,0)+IF(AND(INDIRECT("M"&amp;(T198+70))="X",INDIRECT("M"&amp;(U198+70))="X",INDIRECT("M"&amp;(V198+70))="X"),1,0)+IF(AND(INDIRECT("N"&amp;(T198+70))="X",INDIRECT("N"&amp;(U198+70))="X",INDIRECT("N"&amp;(V198+70))="X"),1,0)+IF(AND(INDIRECT("O"&amp;(T198+70))="X",INDIRECT("O"&amp;(U198+70))="X",INDIRECT("O"&amp;(V198+70))="X"),1,0)+IF(AND(INDIRECT("P"&amp;(T198+70))="X",INDIRECT("P"&amp;(U198+70))="X",INDIRECT("P"&amp;(V198+70))="X"),1,0)+IF(AND(INDIRECT("Q"&amp;(T198+70))="X",INDIRECT("Q"&amp;(U198+70))="X",INDIRECT("Q"&amp;(V198+70))="X"),1,0)</f>
        <v>0</v>
      </c>
    </row>
    <row r="199" spans="20:23" x14ac:dyDescent="0.3">
      <c r="T199">
        <v>3</v>
      </c>
      <c r="U199">
        <v>4</v>
      </c>
      <c r="V199">
        <v>5</v>
      </c>
      <c r="W199" cm="1">
        <f t="array" aca="1" ref="W199" ca="1">IF(AND(INDIRECT("B"&amp;(T199+70))="X",INDIRECT("B"&amp;(U199+70))="X",INDIRECT("B"&amp;(V199+70))="X"),1,0)+IF(AND(INDIRECT("C"&amp;(T199+70))="X",INDIRECT("C"&amp;(U199+70))="X",INDIRECT("C"&amp;(V199+70))="X"),1,0)+IF(AND(INDIRECT("D"&amp;(T199+70))="X",INDIRECT("D"&amp;(U199+70))="X",INDIRECT("D"&amp;(V199+70))="X"),1,0)+IF(AND(INDIRECT("E"&amp;(T199+70))="X",INDIRECT("E"&amp;(U199+70))="X",INDIRECT("E"&amp;(V199+70))="X"),1,0)+IF(AND(INDIRECT("F"&amp;(T199+70))="X",INDIRECT("F"&amp;(U199+70))="X",INDIRECT("F"&amp;(V199+70))="X"),1,0)+IF(AND(INDIRECT("G"&amp;(T199+70))="X",INDIRECT("G"&amp;(U199+70))="X",INDIRECT("G"&amp;(V199+70))="X"),1,0)+IF(AND(INDIRECT("H"&amp;(T199+70))="X",INDIRECT("H"&amp;(U199+70))="X",INDIRECT("H"&amp;(V199+70))="X"),1,0)+IF(AND(INDIRECT("I"&amp;(T199+70))="X",INDIRECT("I"&amp;(U199+70))="X",INDIRECT("I"&amp;(V199+70))="X"),1,0)+IF(AND(INDIRECT("J"&amp;(T199+70))="X",INDIRECT("J"&amp;(U199+70))="X",INDIRECT("J"&amp;(V199+70))="X"),1,0)+IF(AND(INDIRECT("K"&amp;(T199+70))="X",INDIRECT("K"&amp;(U199+70))="X",INDIRECT("K"&amp;(V199+70))="X"),1,0)+IF(AND(INDIRECT("L"&amp;(T199+70))="X",INDIRECT("L"&amp;(U199+70))="X",INDIRECT("L"&amp;(V199+70))="X"),1,0)+IF(AND(INDIRECT("M"&amp;(T199+70))="X",INDIRECT("M"&amp;(U199+70))="X",INDIRECT("M"&amp;(V199+70))="X"),1,0)+IF(AND(INDIRECT("N"&amp;(T199+70))="X",INDIRECT("N"&amp;(U199+70))="X",INDIRECT("N"&amp;(V199+70))="X"),1,0)+IF(AND(INDIRECT("O"&amp;(T199+70))="X",INDIRECT("O"&amp;(U199+70))="X",INDIRECT("O"&amp;(V199+70))="X"),1,0)+IF(AND(INDIRECT("P"&amp;(T199+70))="X",INDIRECT("P"&amp;(U199+70))="X",INDIRECT("P"&amp;(V199+70))="X"),1,0)+IF(AND(INDIRECT("Q"&amp;(T199+70))="X",INDIRECT("Q"&amp;(U199+70))="X",INDIRECT("Q"&amp;(V199+70))="X"),1,0)</f>
        <v>1</v>
      </c>
    </row>
    <row r="200" spans="20:23" x14ac:dyDescent="0.3">
      <c r="T200">
        <v>3</v>
      </c>
      <c r="U200">
        <v>4</v>
      </c>
      <c r="V200">
        <v>6</v>
      </c>
      <c r="W200" cm="1">
        <f t="array" aca="1" ref="W200" ca="1">IF(AND(INDIRECT("B"&amp;(T200+70))="X",INDIRECT("B"&amp;(U200+70))="X",INDIRECT("B"&amp;(V200+70))="X"),1,0)+IF(AND(INDIRECT("C"&amp;(T200+70))="X",INDIRECT("C"&amp;(U200+70))="X",INDIRECT("C"&amp;(V200+70))="X"),1,0)+IF(AND(INDIRECT("D"&amp;(T200+70))="X",INDIRECT("D"&amp;(U200+70))="X",INDIRECT("D"&amp;(V200+70))="X"),1,0)+IF(AND(INDIRECT("E"&amp;(T200+70))="X",INDIRECT("E"&amp;(U200+70))="X",INDIRECT("E"&amp;(V200+70))="X"),1,0)+IF(AND(INDIRECT("F"&amp;(T200+70))="X",INDIRECT("F"&amp;(U200+70))="X",INDIRECT("F"&amp;(V200+70))="X"),1,0)+IF(AND(INDIRECT("G"&amp;(T200+70))="X",INDIRECT("G"&amp;(U200+70))="X",INDIRECT("G"&amp;(V200+70))="X"),1,0)+IF(AND(INDIRECT("H"&amp;(T200+70))="X",INDIRECT("H"&amp;(U200+70))="X",INDIRECT("H"&amp;(V200+70))="X"),1,0)+IF(AND(INDIRECT("I"&amp;(T200+70))="X",INDIRECT("I"&amp;(U200+70))="X",INDIRECT("I"&amp;(V200+70))="X"),1,0)+IF(AND(INDIRECT("J"&amp;(T200+70))="X",INDIRECT("J"&amp;(U200+70))="X",INDIRECT("J"&amp;(V200+70))="X"),1,0)+IF(AND(INDIRECT("K"&amp;(T200+70))="X",INDIRECT("K"&amp;(U200+70))="X",INDIRECT("K"&amp;(V200+70))="X"),1,0)+IF(AND(INDIRECT("L"&amp;(T200+70))="X",INDIRECT("L"&amp;(U200+70))="X",INDIRECT("L"&amp;(V200+70))="X"),1,0)+IF(AND(INDIRECT("M"&amp;(T200+70))="X",INDIRECT("M"&amp;(U200+70))="X",INDIRECT("M"&amp;(V200+70))="X"),1,0)+IF(AND(INDIRECT("N"&amp;(T200+70))="X",INDIRECT("N"&amp;(U200+70))="X",INDIRECT("N"&amp;(V200+70))="X"),1,0)+IF(AND(INDIRECT("O"&amp;(T200+70))="X",INDIRECT("O"&amp;(U200+70))="X",INDIRECT("O"&amp;(V200+70))="X"),1,0)+IF(AND(INDIRECT("P"&amp;(T200+70))="X",INDIRECT("P"&amp;(U200+70))="X",INDIRECT("P"&amp;(V200+70))="X"),1,0)+IF(AND(INDIRECT("Q"&amp;(T200+70))="X",INDIRECT("Q"&amp;(U200+70))="X",INDIRECT("Q"&amp;(V200+70))="X"),1,0)</f>
        <v>1</v>
      </c>
    </row>
    <row r="201" spans="20:23" x14ac:dyDescent="0.3">
      <c r="T201">
        <v>3</v>
      </c>
      <c r="U201">
        <v>4</v>
      </c>
      <c r="V201">
        <v>7</v>
      </c>
      <c r="W201" cm="1">
        <f t="array" aca="1" ref="W201" ca="1">IF(AND(INDIRECT("B"&amp;(T201+70))="X",INDIRECT("B"&amp;(U201+70))="X",INDIRECT("B"&amp;(V201+70))="X"),1,0)+IF(AND(INDIRECT("C"&amp;(T201+70))="X",INDIRECT("C"&amp;(U201+70))="X",INDIRECT("C"&amp;(V201+70))="X"),1,0)+IF(AND(INDIRECT("D"&amp;(T201+70))="X",INDIRECT("D"&amp;(U201+70))="X",INDIRECT("D"&amp;(V201+70))="X"),1,0)+IF(AND(INDIRECT("E"&amp;(T201+70))="X",INDIRECT("E"&amp;(U201+70))="X",INDIRECT("E"&amp;(V201+70))="X"),1,0)+IF(AND(INDIRECT("F"&amp;(T201+70))="X",INDIRECT("F"&amp;(U201+70))="X",INDIRECT("F"&amp;(V201+70))="X"),1,0)+IF(AND(INDIRECT("G"&amp;(T201+70))="X",INDIRECT("G"&amp;(U201+70))="X",INDIRECT("G"&amp;(V201+70))="X"),1,0)+IF(AND(INDIRECT("H"&amp;(T201+70))="X",INDIRECT("H"&amp;(U201+70))="X",INDIRECT("H"&amp;(V201+70))="X"),1,0)+IF(AND(INDIRECT("I"&amp;(T201+70))="X",INDIRECT("I"&amp;(U201+70))="X",INDIRECT("I"&amp;(V201+70))="X"),1,0)+IF(AND(INDIRECT("J"&amp;(T201+70))="X",INDIRECT("J"&amp;(U201+70))="X",INDIRECT("J"&amp;(V201+70))="X"),1,0)+IF(AND(INDIRECT("K"&amp;(T201+70))="X",INDIRECT("K"&amp;(U201+70))="X",INDIRECT("K"&amp;(V201+70))="X"),1,0)+IF(AND(INDIRECT("L"&amp;(T201+70))="X",INDIRECT("L"&amp;(U201+70))="X",INDIRECT("L"&amp;(V201+70))="X"),1,0)+IF(AND(INDIRECT("M"&amp;(T201+70))="X",INDIRECT("M"&amp;(U201+70))="X",INDIRECT("M"&amp;(V201+70))="X"),1,0)+IF(AND(INDIRECT("N"&amp;(T201+70))="X",INDIRECT("N"&amp;(U201+70))="X",INDIRECT("N"&amp;(V201+70))="X"),1,0)+IF(AND(INDIRECT("O"&amp;(T201+70))="X",INDIRECT("O"&amp;(U201+70))="X",INDIRECT("O"&amp;(V201+70))="X"),1,0)+IF(AND(INDIRECT("P"&amp;(T201+70))="X",INDIRECT("P"&amp;(U201+70))="X",INDIRECT("P"&amp;(V201+70))="X"),1,0)+IF(AND(INDIRECT("Q"&amp;(T201+70))="X",INDIRECT("Q"&amp;(U201+70))="X",INDIRECT("Q"&amp;(V201+70))="X"),1,0)</f>
        <v>4</v>
      </c>
    </row>
    <row r="202" spans="20:23" x14ac:dyDescent="0.3">
      <c r="T202">
        <v>3</v>
      </c>
      <c r="U202">
        <v>4</v>
      </c>
      <c r="V202">
        <v>8</v>
      </c>
      <c r="W202" cm="1">
        <f t="array" aca="1" ref="W202" ca="1">IF(AND(INDIRECT("B"&amp;(T202+70))="X",INDIRECT("B"&amp;(U202+70))="X",INDIRECT("B"&amp;(V202+70))="X"),1,0)+IF(AND(INDIRECT("C"&amp;(T202+70))="X",INDIRECT("C"&amp;(U202+70))="X",INDIRECT("C"&amp;(V202+70))="X"),1,0)+IF(AND(INDIRECT("D"&amp;(T202+70))="X",INDIRECT("D"&amp;(U202+70))="X",INDIRECT("D"&amp;(V202+70))="X"),1,0)+IF(AND(INDIRECT("E"&amp;(T202+70))="X",INDIRECT("E"&amp;(U202+70))="X",INDIRECT("E"&amp;(V202+70))="X"),1,0)+IF(AND(INDIRECT("F"&amp;(T202+70))="X",INDIRECT("F"&amp;(U202+70))="X",INDIRECT("F"&amp;(V202+70))="X"),1,0)+IF(AND(INDIRECT("G"&amp;(T202+70))="X",INDIRECT("G"&amp;(U202+70))="X",INDIRECT("G"&amp;(V202+70))="X"),1,0)+IF(AND(INDIRECT("H"&amp;(T202+70))="X",INDIRECT("H"&amp;(U202+70))="X",INDIRECT("H"&amp;(V202+70))="X"),1,0)+IF(AND(INDIRECT("I"&amp;(T202+70))="X",INDIRECT("I"&amp;(U202+70))="X",INDIRECT("I"&amp;(V202+70))="X"),1,0)+IF(AND(INDIRECT("J"&amp;(T202+70))="X",INDIRECT("J"&amp;(U202+70))="X",INDIRECT("J"&amp;(V202+70))="X"),1,0)+IF(AND(INDIRECT("K"&amp;(T202+70))="X",INDIRECT("K"&amp;(U202+70))="X",INDIRECT("K"&amp;(V202+70))="X"),1,0)+IF(AND(INDIRECT("L"&amp;(T202+70))="X",INDIRECT("L"&amp;(U202+70))="X",INDIRECT("L"&amp;(V202+70))="X"),1,0)+IF(AND(INDIRECT("M"&amp;(T202+70))="X",INDIRECT("M"&amp;(U202+70))="X",INDIRECT("M"&amp;(V202+70))="X"),1,0)+IF(AND(INDIRECT("N"&amp;(T202+70))="X",INDIRECT("N"&amp;(U202+70))="X",INDIRECT("N"&amp;(V202+70))="X"),1,0)+IF(AND(INDIRECT("O"&amp;(T202+70))="X",INDIRECT("O"&amp;(U202+70))="X",INDIRECT("O"&amp;(V202+70))="X"),1,0)+IF(AND(INDIRECT("P"&amp;(T202+70))="X",INDIRECT("P"&amp;(U202+70))="X",INDIRECT("P"&amp;(V202+70))="X"),1,0)+IF(AND(INDIRECT("Q"&amp;(T202+70))="X",INDIRECT("Q"&amp;(U202+70))="X",INDIRECT("Q"&amp;(V202+70))="X"),1,0)</f>
        <v>3</v>
      </c>
    </row>
    <row r="203" spans="20:23" x14ac:dyDescent="0.3">
      <c r="T203">
        <v>3</v>
      </c>
      <c r="U203">
        <v>4</v>
      </c>
      <c r="V203">
        <v>9</v>
      </c>
      <c r="W203" cm="1">
        <f t="array" aca="1" ref="W203" ca="1">IF(AND(INDIRECT("B"&amp;(T203+70))="X",INDIRECT("B"&amp;(U203+70))="X",INDIRECT("B"&amp;(V203+70))="X"),1,0)+IF(AND(INDIRECT("C"&amp;(T203+70))="X",INDIRECT("C"&amp;(U203+70))="X",INDIRECT("C"&amp;(V203+70))="X"),1,0)+IF(AND(INDIRECT("D"&amp;(T203+70))="X",INDIRECT("D"&amp;(U203+70))="X",INDIRECT("D"&amp;(V203+70))="X"),1,0)+IF(AND(INDIRECT("E"&amp;(T203+70))="X",INDIRECT("E"&amp;(U203+70))="X",INDIRECT("E"&amp;(V203+70))="X"),1,0)+IF(AND(INDIRECT("F"&amp;(T203+70))="X",INDIRECT("F"&amp;(U203+70))="X",INDIRECT("F"&amp;(V203+70))="X"),1,0)+IF(AND(INDIRECT("G"&amp;(T203+70))="X",INDIRECT("G"&amp;(U203+70))="X",INDIRECT("G"&amp;(V203+70))="X"),1,0)+IF(AND(INDIRECT("H"&amp;(T203+70))="X",INDIRECT("H"&amp;(U203+70))="X",INDIRECT("H"&amp;(V203+70))="X"),1,0)+IF(AND(INDIRECT("I"&amp;(T203+70))="X",INDIRECT("I"&amp;(U203+70))="X",INDIRECT("I"&amp;(V203+70))="X"),1,0)+IF(AND(INDIRECT("J"&amp;(T203+70))="X",INDIRECT("J"&amp;(U203+70))="X",INDIRECT("J"&amp;(V203+70))="X"),1,0)+IF(AND(INDIRECT("K"&amp;(T203+70))="X",INDIRECT("K"&amp;(U203+70))="X",INDIRECT("K"&amp;(V203+70))="X"),1,0)+IF(AND(INDIRECT("L"&amp;(T203+70))="X",INDIRECT("L"&amp;(U203+70))="X",INDIRECT("L"&amp;(V203+70))="X"),1,0)+IF(AND(INDIRECT("M"&amp;(T203+70))="X",INDIRECT("M"&amp;(U203+70))="X",INDIRECT("M"&amp;(V203+70))="X"),1,0)+IF(AND(INDIRECT("N"&amp;(T203+70))="X",INDIRECT("N"&amp;(U203+70))="X",INDIRECT("N"&amp;(V203+70))="X"),1,0)+IF(AND(INDIRECT("O"&amp;(T203+70))="X",INDIRECT("O"&amp;(U203+70))="X",INDIRECT("O"&amp;(V203+70))="X"),1,0)+IF(AND(INDIRECT("P"&amp;(T203+70))="X",INDIRECT("P"&amp;(U203+70))="X",INDIRECT("P"&amp;(V203+70))="X"),1,0)+IF(AND(INDIRECT("Q"&amp;(T203+70))="X",INDIRECT("Q"&amp;(U203+70))="X",INDIRECT("Q"&amp;(V203+70))="X"),1,0)</f>
        <v>0</v>
      </c>
    </row>
    <row r="204" spans="20:23" x14ac:dyDescent="0.3">
      <c r="T204">
        <v>3</v>
      </c>
      <c r="U204">
        <v>4</v>
      </c>
      <c r="V204">
        <v>10</v>
      </c>
      <c r="W204" cm="1">
        <f t="array" aca="1" ref="W204" ca="1">IF(AND(INDIRECT("B"&amp;(T204+70))="X",INDIRECT("B"&amp;(U204+70))="X",INDIRECT("B"&amp;(V204+70))="X"),1,0)+IF(AND(INDIRECT("C"&amp;(T204+70))="X",INDIRECT("C"&amp;(U204+70))="X",INDIRECT("C"&amp;(V204+70))="X"),1,0)+IF(AND(INDIRECT("D"&amp;(T204+70))="X",INDIRECT("D"&amp;(U204+70))="X",INDIRECT("D"&amp;(V204+70))="X"),1,0)+IF(AND(INDIRECT("E"&amp;(T204+70))="X",INDIRECT("E"&amp;(U204+70))="X",INDIRECT("E"&amp;(V204+70))="X"),1,0)+IF(AND(INDIRECT("F"&amp;(T204+70))="X",INDIRECT("F"&amp;(U204+70))="X",INDIRECT("F"&amp;(V204+70))="X"),1,0)+IF(AND(INDIRECT("G"&amp;(T204+70))="X",INDIRECT("G"&amp;(U204+70))="X",INDIRECT("G"&amp;(V204+70))="X"),1,0)+IF(AND(INDIRECT("H"&amp;(T204+70))="X",INDIRECT("H"&amp;(U204+70))="X",INDIRECT("H"&amp;(V204+70))="X"),1,0)+IF(AND(INDIRECT("I"&amp;(T204+70))="X",INDIRECT("I"&amp;(U204+70))="X",INDIRECT("I"&amp;(V204+70))="X"),1,0)+IF(AND(INDIRECT("J"&amp;(T204+70))="X",INDIRECT("J"&amp;(U204+70))="X",INDIRECT("J"&amp;(V204+70))="X"),1,0)+IF(AND(INDIRECT("K"&amp;(T204+70))="X",INDIRECT("K"&amp;(U204+70))="X",INDIRECT("K"&amp;(V204+70))="X"),1,0)+IF(AND(INDIRECT("L"&amp;(T204+70))="X",INDIRECT("L"&amp;(U204+70))="X",INDIRECT("L"&amp;(V204+70))="X"),1,0)+IF(AND(INDIRECT("M"&amp;(T204+70))="X",INDIRECT("M"&amp;(U204+70))="X",INDIRECT("M"&amp;(V204+70))="X"),1,0)+IF(AND(INDIRECT("N"&amp;(T204+70))="X",INDIRECT("N"&amp;(U204+70))="X",INDIRECT("N"&amp;(V204+70))="X"),1,0)+IF(AND(INDIRECT("O"&amp;(T204+70))="X",INDIRECT("O"&amp;(U204+70))="X",INDIRECT("O"&amp;(V204+70))="X"),1,0)+IF(AND(INDIRECT("P"&amp;(T204+70))="X",INDIRECT("P"&amp;(U204+70))="X",INDIRECT("P"&amp;(V204+70))="X"),1,0)+IF(AND(INDIRECT("Q"&amp;(T204+70))="X",INDIRECT("Q"&amp;(U204+70))="X",INDIRECT("Q"&amp;(V204+70))="X"),1,0)</f>
        <v>1</v>
      </c>
    </row>
    <row r="205" spans="20:23" x14ac:dyDescent="0.3">
      <c r="T205">
        <v>3</v>
      </c>
      <c r="U205">
        <v>4</v>
      </c>
      <c r="V205">
        <v>11</v>
      </c>
      <c r="W205" cm="1">
        <f t="array" aca="1" ref="W205" ca="1">IF(AND(INDIRECT("B"&amp;(T205+70))="X",INDIRECT("B"&amp;(U205+70))="X",INDIRECT("B"&amp;(V205+70))="X"),1,0)+IF(AND(INDIRECT("C"&amp;(T205+70))="X",INDIRECT("C"&amp;(U205+70))="X",INDIRECT("C"&amp;(V205+70))="X"),1,0)+IF(AND(INDIRECT("D"&amp;(T205+70))="X",INDIRECT("D"&amp;(U205+70))="X",INDIRECT("D"&amp;(V205+70))="X"),1,0)+IF(AND(INDIRECT("E"&amp;(T205+70))="X",INDIRECT("E"&amp;(U205+70))="X",INDIRECT("E"&amp;(V205+70))="X"),1,0)+IF(AND(INDIRECT("F"&amp;(T205+70))="X",INDIRECT("F"&amp;(U205+70))="X",INDIRECT("F"&amp;(V205+70))="X"),1,0)+IF(AND(INDIRECT("G"&amp;(T205+70))="X",INDIRECT("G"&amp;(U205+70))="X",INDIRECT("G"&amp;(V205+70))="X"),1,0)+IF(AND(INDIRECT("H"&amp;(T205+70))="X",INDIRECT("H"&amp;(U205+70))="X",INDIRECT("H"&amp;(V205+70))="X"),1,0)+IF(AND(INDIRECT("I"&amp;(T205+70))="X",INDIRECT("I"&amp;(U205+70))="X",INDIRECT("I"&amp;(V205+70))="X"),1,0)+IF(AND(INDIRECT("J"&amp;(T205+70))="X",INDIRECT("J"&amp;(U205+70))="X",INDIRECT("J"&amp;(V205+70))="X"),1,0)+IF(AND(INDIRECT("K"&amp;(T205+70))="X",INDIRECT("K"&amp;(U205+70))="X",INDIRECT("K"&amp;(V205+70))="X"),1,0)+IF(AND(INDIRECT("L"&amp;(T205+70))="X",INDIRECT("L"&amp;(U205+70))="X",INDIRECT("L"&amp;(V205+70))="X"),1,0)+IF(AND(INDIRECT("M"&amp;(T205+70))="X",INDIRECT("M"&amp;(U205+70))="X",INDIRECT("M"&amp;(V205+70))="X"),1,0)+IF(AND(INDIRECT("N"&amp;(T205+70))="X",INDIRECT("N"&amp;(U205+70))="X",INDIRECT("N"&amp;(V205+70))="X"),1,0)+IF(AND(INDIRECT("O"&amp;(T205+70))="X",INDIRECT("O"&amp;(U205+70))="X",INDIRECT("O"&amp;(V205+70))="X"),1,0)+IF(AND(INDIRECT("P"&amp;(T205+70))="X",INDIRECT("P"&amp;(U205+70))="X",INDIRECT("P"&amp;(V205+70))="X"),1,0)+IF(AND(INDIRECT("Q"&amp;(T205+70))="X",INDIRECT("Q"&amp;(U205+70))="X",INDIRECT("Q"&amp;(V205+70))="X"),1,0)</f>
        <v>3</v>
      </c>
    </row>
    <row r="206" spans="20:23" x14ac:dyDescent="0.3">
      <c r="T206">
        <v>3</v>
      </c>
      <c r="U206">
        <v>4</v>
      </c>
      <c r="V206">
        <v>12</v>
      </c>
      <c r="W206" cm="1">
        <f t="array" aca="1" ref="W206" ca="1">IF(AND(INDIRECT("B"&amp;(T206+70))="X",INDIRECT("B"&amp;(U206+70))="X",INDIRECT("B"&amp;(V206+70))="X"),1,0)+IF(AND(INDIRECT("C"&amp;(T206+70))="X",INDIRECT("C"&amp;(U206+70))="X",INDIRECT("C"&amp;(V206+70))="X"),1,0)+IF(AND(INDIRECT("D"&amp;(T206+70))="X",INDIRECT("D"&amp;(U206+70))="X",INDIRECT("D"&amp;(V206+70))="X"),1,0)+IF(AND(INDIRECT("E"&amp;(T206+70))="X",INDIRECT("E"&amp;(U206+70))="X",INDIRECT("E"&amp;(V206+70))="X"),1,0)+IF(AND(INDIRECT("F"&amp;(T206+70))="X",INDIRECT("F"&amp;(U206+70))="X",INDIRECT("F"&amp;(V206+70))="X"),1,0)+IF(AND(INDIRECT("G"&amp;(T206+70))="X",INDIRECT("G"&amp;(U206+70))="X",INDIRECT("G"&amp;(V206+70))="X"),1,0)+IF(AND(INDIRECT("H"&amp;(T206+70))="X",INDIRECT("H"&amp;(U206+70))="X",INDIRECT("H"&amp;(V206+70))="X"),1,0)+IF(AND(INDIRECT("I"&amp;(T206+70))="X",INDIRECT("I"&amp;(U206+70))="X",INDIRECT("I"&amp;(V206+70))="X"),1,0)+IF(AND(INDIRECT("J"&amp;(T206+70))="X",INDIRECT("J"&amp;(U206+70))="X",INDIRECT("J"&amp;(V206+70))="X"),1,0)+IF(AND(INDIRECT("K"&amp;(T206+70))="X",INDIRECT("K"&amp;(U206+70))="X",INDIRECT("K"&amp;(V206+70))="X"),1,0)+IF(AND(INDIRECT("L"&amp;(T206+70))="X",INDIRECT("L"&amp;(U206+70))="X",INDIRECT("L"&amp;(V206+70))="X"),1,0)+IF(AND(INDIRECT("M"&amp;(T206+70))="X",INDIRECT("M"&amp;(U206+70))="X",INDIRECT("M"&amp;(V206+70))="X"),1,0)+IF(AND(INDIRECT("N"&amp;(T206+70))="X",INDIRECT("N"&amp;(U206+70))="X",INDIRECT("N"&amp;(V206+70))="X"),1,0)+IF(AND(INDIRECT("O"&amp;(T206+70))="X",INDIRECT("O"&amp;(U206+70))="X",INDIRECT("O"&amp;(V206+70))="X"),1,0)+IF(AND(INDIRECT("P"&amp;(T206+70))="X",INDIRECT("P"&amp;(U206+70))="X",INDIRECT("P"&amp;(V206+70))="X"),1,0)+IF(AND(INDIRECT("Q"&amp;(T206+70))="X",INDIRECT("Q"&amp;(U206+70))="X",INDIRECT("Q"&amp;(V206+70))="X"),1,0)</f>
        <v>3</v>
      </c>
    </row>
    <row r="207" spans="20:23" x14ac:dyDescent="0.3">
      <c r="T207">
        <v>3</v>
      </c>
      <c r="U207">
        <v>4</v>
      </c>
      <c r="V207">
        <v>13</v>
      </c>
      <c r="W207" cm="1">
        <f t="array" aca="1" ref="W207" ca="1">IF(AND(INDIRECT("B"&amp;(T207+70))="X",INDIRECT("B"&amp;(U207+70))="X",INDIRECT("B"&amp;(V207+70))="X"),1,0)+IF(AND(INDIRECT("C"&amp;(T207+70))="X",INDIRECT("C"&amp;(U207+70))="X",INDIRECT("C"&amp;(V207+70))="X"),1,0)+IF(AND(INDIRECT("D"&amp;(T207+70))="X",INDIRECT("D"&amp;(U207+70))="X",INDIRECT("D"&amp;(V207+70))="X"),1,0)+IF(AND(INDIRECT("E"&amp;(T207+70))="X",INDIRECT("E"&amp;(U207+70))="X",INDIRECT("E"&amp;(V207+70))="X"),1,0)+IF(AND(INDIRECT("F"&amp;(T207+70))="X",INDIRECT("F"&amp;(U207+70))="X",INDIRECT("F"&amp;(V207+70))="X"),1,0)+IF(AND(INDIRECT("G"&amp;(T207+70))="X",INDIRECT("G"&amp;(U207+70))="X",INDIRECT("G"&amp;(V207+70))="X"),1,0)+IF(AND(INDIRECT("H"&amp;(T207+70))="X",INDIRECT("H"&amp;(U207+70))="X",INDIRECT("H"&amp;(V207+70))="X"),1,0)+IF(AND(INDIRECT("I"&amp;(T207+70))="X",INDIRECT("I"&amp;(U207+70))="X",INDIRECT("I"&amp;(V207+70))="X"),1,0)+IF(AND(INDIRECT("J"&amp;(T207+70))="X",INDIRECT("J"&amp;(U207+70))="X",INDIRECT("J"&amp;(V207+70))="X"),1,0)+IF(AND(INDIRECT("K"&amp;(T207+70))="X",INDIRECT("K"&amp;(U207+70))="X",INDIRECT("K"&amp;(V207+70))="X"),1,0)+IF(AND(INDIRECT("L"&amp;(T207+70))="X",INDIRECT("L"&amp;(U207+70))="X",INDIRECT("L"&amp;(V207+70))="X"),1,0)+IF(AND(INDIRECT("M"&amp;(T207+70))="X",INDIRECT("M"&amp;(U207+70))="X",INDIRECT("M"&amp;(V207+70))="X"),1,0)+IF(AND(INDIRECT("N"&amp;(T207+70))="X",INDIRECT("N"&amp;(U207+70))="X",INDIRECT("N"&amp;(V207+70))="X"),1,0)+IF(AND(INDIRECT("O"&amp;(T207+70))="X",INDIRECT("O"&amp;(U207+70))="X",INDIRECT("O"&amp;(V207+70))="X"),1,0)+IF(AND(INDIRECT("P"&amp;(T207+70))="X",INDIRECT("P"&amp;(U207+70))="X",INDIRECT("P"&amp;(V207+70))="X"),1,0)+IF(AND(INDIRECT("Q"&amp;(T207+70))="X",INDIRECT("Q"&amp;(U207+70))="X",INDIRECT("Q"&amp;(V207+70))="X"),1,0)</f>
        <v>2</v>
      </c>
    </row>
    <row r="208" spans="20:23" x14ac:dyDescent="0.3">
      <c r="T208">
        <v>3</v>
      </c>
      <c r="U208">
        <v>4</v>
      </c>
      <c r="V208">
        <v>14</v>
      </c>
      <c r="W208" cm="1">
        <f t="array" aca="1" ref="W208" ca="1">IF(AND(INDIRECT("B"&amp;(T208+70))="X",INDIRECT("B"&amp;(U208+70))="X",INDIRECT("B"&amp;(V208+70))="X"),1,0)+IF(AND(INDIRECT("C"&amp;(T208+70))="X",INDIRECT("C"&amp;(U208+70))="X",INDIRECT("C"&amp;(V208+70))="X"),1,0)+IF(AND(INDIRECT("D"&amp;(T208+70))="X",INDIRECT("D"&amp;(U208+70))="X",INDIRECT("D"&amp;(V208+70))="X"),1,0)+IF(AND(INDIRECT("E"&amp;(T208+70))="X",INDIRECT("E"&amp;(U208+70))="X",INDIRECT("E"&amp;(V208+70))="X"),1,0)+IF(AND(INDIRECT("F"&amp;(T208+70))="X",INDIRECT("F"&amp;(U208+70))="X",INDIRECT("F"&amp;(V208+70))="X"),1,0)+IF(AND(INDIRECT("G"&amp;(T208+70))="X",INDIRECT("G"&amp;(U208+70))="X",INDIRECT("G"&amp;(V208+70))="X"),1,0)+IF(AND(INDIRECT("H"&amp;(T208+70))="X",INDIRECT("H"&amp;(U208+70))="X",INDIRECT("H"&amp;(V208+70))="X"),1,0)+IF(AND(INDIRECT("I"&amp;(T208+70))="X",INDIRECT("I"&amp;(U208+70))="X",INDIRECT("I"&amp;(V208+70))="X"),1,0)+IF(AND(INDIRECT("J"&amp;(T208+70))="X",INDIRECT("J"&amp;(U208+70))="X",INDIRECT("J"&amp;(V208+70))="X"),1,0)+IF(AND(INDIRECT("K"&amp;(T208+70))="X",INDIRECT("K"&amp;(U208+70))="X",INDIRECT("K"&amp;(V208+70))="X"),1,0)+IF(AND(INDIRECT("L"&amp;(T208+70))="X",INDIRECT("L"&amp;(U208+70))="X",INDIRECT("L"&amp;(V208+70))="X"),1,0)+IF(AND(INDIRECT("M"&amp;(T208+70))="X",INDIRECT("M"&amp;(U208+70))="X",INDIRECT("M"&amp;(V208+70))="X"),1,0)+IF(AND(INDIRECT("N"&amp;(T208+70))="X",INDIRECT("N"&amp;(U208+70))="X",INDIRECT("N"&amp;(V208+70))="X"),1,0)+IF(AND(INDIRECT("O"&amp;(T208+70))="X",INDIRECT("O"&amp;(U208+70))="X",INDIRECT("O"&amp;(V208+70))="X"),1,0)+IF(AND(INDIRECT("P"&amp;(T208+70))="X",INDIRECT("P"&amp;(U208+70))="X",INDIRECT("P"&amp;(V208+70))="X"),1,0)+IF(AND(INDIRECT("Q"&amp;(T208+70))="X",INDIRECT("Q"&amp;(U208+70))="X",INDIRECT("Q"&amp;(V208+70))="X"),1,0)</f>
        <v>2</v>
      </c>
    </row>
    <row r="209" spans="20:23" x14ac:dyDescent="0.3">
      <c r="T209">
        <v>3</v>
      </c>
      <c r="U209">
        <v>5</v>
      </c>
      <c r="V209">
        <v>6</v>
      </c>
      <c r="W209" cm="1">
        <f t="array" aca="1" ref="W209" ca="1">IF(AND(INDIRECT("B"&amp;(T209+70))="X",INDIRECT("B"&amp;(U209+70))="X",INDIRECT("B"&amp;(V209+70))="X"),1,0)+IF(AND(INDIRECT("C"&amp;(T209+70))="X",INDIRECT("C"&amp;(U209+70))="X",INDIRECT("C"&amp;(V209+70))="X"),1,0)+IF(AND(INDIRECT("D"&amp;(T209+70))="X",INDIRECT("D"&amp;(U209+70))="X",INDIRECT("D"&amp;(V209+70))="X"),1,0)+IF(AND(INDIRECT("E"&amp;(T209+70))="X",INDIRECT("E"&amp;(U209+70))="X",INDIRECT("E"&amp;(V209+70))="X"),1,0)+IF(AND(INDIRECT("F"&amp;(T209+70))="X",INDIRECT("F"&amp;(U209+70))="X",INDIRECT("F"&amp;(V209+70))="X"),1,0)+IF(AND(INDIRECT("G"&amp;(T209+70))="X",INDIRECT("G"&amp;(U209+70))="X",INDIRECT("G"&amp;(V209+70))="X"),1,0)+IF(AND(INDIRECT("H"&amp;(T209+70))="X",INDIRECT("H"&amp;(U209+70))="X",INDIRECT("H"&amp;(V209+70))="X"),1,0)+IF(AND(INDIRECT("I"&amp;(T209+70))="X",INDIRECT("I"&amp;(U209+70))="X",INDIRECT("I"&amp;(V209+70))="X"),1,0)+IF(AND(INDIRECT("J"&amp;(T209+70))="X",INDIRECT("J"&amp;(U209+70))="X",INDIRECT("J"&amp;(V209+70))="X"),1,0)+IF(AND(INDIRECT("K"&amp;(T209+70))="X",INDIRECT("K"&amp;(U209+70))="X",INDIRECT("K"&amp;(V209+70))="X"),1,0)+IF(AND(INDIRECT("L"&amp;(T209+70))="X",INDIRECT("L"&amp;(U209+70))="X",INDIRECT("L"&amp;(V209+70))="X"),1,0)+IF(AND(INDIRECT("M"&amp;(T209+70))="X",INDIRECT("M"&amp;(U209+70))="X",INDIRECT("M"&amp;(V209+70))="X"),1,0)+IF(AND(INDIRECT("N"&amp;(T209+70))="X",INDIRECT("N"&amp;(U209+70))="X",INDIRECT("N"&amp;(V209+70))="X"),1,0)+IF(AND(INDIRECT("O"&amp;(T209+70))="X",INDIRECT("O"&amp;(U209+70))="X",INDIRECT("O"&amp;(V209+70))="X"),1,0)+IF(AND(INDIRECT("P"&amp;(T209+70))="X",INDIRECT("P"&amp;(U209+70))="X",INDIRECT("P"&amp;(V209+70))="X"),1,0)+IF(AND(INDIRECT("Q"&amp;(T209+70))="X",INDIRECT("Q"&amp;(U209+70))="X",INDIRECT("Q"&amp;(V209+70))="X"),1,0)</f>
        <v>1</v>
      </c>
    </row>
    <row r="210" spans="20:23" x14ac:dyDescent="0.3">
      <c r="T210">
        <v>3</v>
      </c>
      <c r="U210">
        <v>5</v>
      </c>
      <c r="V210">
        <v>7</v>
      </c>
      <c r="W210" cm="1">
        <f t="array" aca="1" ref="W210" ca="1">IF(AND(INDIRECT("B"&amp;(T210+70))="X",INDIRECT("B"&amp;(U210+70))="X",INDIRECT("B"&amp;(V210+70))="X"),1,0)+IF(AND(INDIRECT("C"&amp;(T210+70))="X",INDIRECT("C"&amp;(U210+70))="X",INDIRECT("C"&amp;(V210+70))="X"),1,0)+IF(AND(INDIRECT("D"&amp;(T210+70))="X",INDIRECT("D"&amp;(U210+70))="X",INDIRECT("D"&amp;(V210+70))="X"),1,0)+IF(AND(INDIRECT("E"&amp;(T210+70))="X",INDIRECT("E"&amp;(U210+70))="X",INDIRECT("E"&amp;(V210+70))="X"),1,0)+IF(AND(INDIRECT("F"&amp;(T210+70))="X",INDIRECT("F"&amp;(U210+70))="X",INDIRECT("F"&amp;(V210+70))="X"),1,0)+IF(AND(INDIRECT("G"&amp;(T210+70))="X",INDIRECT("G"&amp;(U210+70))="X",INDIRECT("G"&amp;(V210+70))="X"),1,0)+IF(AND(INDIRECT("H"&amp;(T210+70))="X",INDIRECT("H"&amp;(U210+70))="X",INDIRECT("H"&amp;(V210+70))="X"),1,0)+IF(AND(INDIRECT("I"&amp;(T210+70))="X",INDIRECT("I"&amp;(U210+70))="X",INDIRECT("I"&amp;(V210+70))="X"),1,0)+IF(AND(INDIRECT("J"&amp;(T210+70))="X",INDIRECT("J"&amp;(U210+70))="X",INDIRECT("J"&amp;(V210+70))="X"),1,0)+IF(AND(INDIRECT("K"&amp;(T210+70))="X",INDIRECT("K"&amp;(U210+70))="X",INDIRECT("K"&amp;(V210+70))="X"),1,0)+IF(AND(INDIRECT("L"&amp;(T210+70))="X",INDIRECT("L"&amp;(U210+70))="X",INDIRECT("L"&amp;(V210+70))="X"),1,0)+IF(AND(INDIRECT("M"&amp;(T210+70))="X",INDIRECT("M"&amp;(U210+70))="X",INDIRECT("M"&amp;(V210+70))="X"),1,0)+IF(AND(INDIRECT("N"&amp;(T210+70))="X",INDIRECT("N"&amp;(U210+70))="X",INDIRECT("N"&amp;(V210+70))="X"),1,0)+IF(AND(INDIRECT("O"&amp;(T210+70))="X",INDIRECT("O"&amp;(U210+70))="X",INDIRECT("O"&amp;(V210+70))="X"),1,0)+IF(AND(INDIRECT("P"&amp;(T210+70))="X",INDIRECT("P"&amp;(U210+70))="X",INDIRECT("P"&amp;(V210+70))="X"),1,0)+IF(AND(INDIRECT("Q"&amp;(T210+70))="X",INDIRECT("Q"&amp;(U210+70))="X",INDIRECT("Q"&amp;(V210+70))="X"),1,0)</f>
        <v>1</v>
      </c>
    </row>
    <row r="211" spans="20:23" x14ac:dyDescent="0.3">
      <c r="T211">
        <v>3</v>
      </c>
      <c r="U211">
        <v>5</v>
      </c>
      <c r="V211">
        <v>8</v>
      </c>
      <c r="W211" cm="1">
        <f t="array" aca="1" ref="W211" ca="1">IF(AND(INDIRECT("B"&amp;(T211+70))="X",INDIRECT("B"&amp;(U211+70))="X",INDIRECT("B"&amp;(V211+70))="X"),1,0)+IF(AND(INDIRECT("C"&amp;(T211+70))="X",INDIRECT("C"&amp;(U211+70))="X",INDIRECT("C"&amp;(V211+70))="X"),1,0)+IF(AND(INDIRECT("D"&amp;(T211+70))="X",INDIRECT("D"&amp;(U211+70))="X",INDIRECT("D"&amp;(V211+70))="X"),1,0)+IF(AND(INDIRECT("E"&amp;(T211+70))="X",INDIRECT("E"&amp;(U211+70))="X",INDIRECT("E"&amp;(V211+70))="X"),1,0)+IF(AND(INDIRECT("F"&amp;(T211+70))="X",INDIRECT("F"&amp;(U211+70))="X",INDIRECT("F"&amp;(V211+70))="X"),1,0)+IF(AND(INDIRECT("G"&amp;(T211+70))="X",INDIRECT("G"&amp;(U211+70))="X",INDIRECT("G"&amp;(V211+70))="X"),1,0)+IF(AND(INDIRECT("H"&amp;(T211+70))="X",INDIRECT("H"&amp;(U211+70))="X",INDIRECT("H"&amp;(V211+70))="X"),1,0)+IF(AND(INDIRECT("I"&amp;(T211+70))="X",INDIRECT("I"&amp;(U211+70))="X",INDIRECT("I"&amp;(V211+70))="X"),1,0)+IF(AND(INDIRECT("J"&amp;(T211+70))="X",INDIRECT("J"&amp;(U211+70))="X",INDIRECT("J"&amp;(V211+70))="X"),1,0)+IF(AND(INDIRECT("K"&amp;(T211+70))="X",INDIRECT("K"&amp;(U211+70))="X",INDIRECT("K"&amp;(V211+70))="X"),1,0)+IF(AND(INDIRECT("L"&amp;(T211+70))="X",INDIRECT("L"&amp;(U211+70))="X",INDIRECT("L"&amp;(V211+70))="X"),1,0)+IF(AND(INDIRECT("M"&amp;(T211+70))="X",INDIRECT("M"&amp;(U211+70))="X",INDIRECT("M"&amp;(V211+70))="X"),1,0)+IF(AND(INDIRECT("N"&amp;(T211+70))="X",INDIRECT("N"&amp;(U211+70))="X",INDIRECT("N"&amp;(V211+70))="X"),1,0)+IF(AND(INDIRECT("O"&amp;(T211+70))="X",INDIRECT("O"&amp;(U211+70))="X",INDIRECT("O"&amp;(V211+70))="X"),1,0)+IF(AND(INDIRECT("P"&amp;(T211+70))="X",INDIRECT("P"&amp;(U211+70))="X",INDIRECT("P"&amp;(V211+70))="X"),1,0)+IF(AND(INDIRECT("Q"&amp;(T211+70))="X",INDIRECT("Q"&amp;(U211+70))="X",INDIRECT("Q"&amp;(V211+70))="X"),1,0)</f>
        <v>2</v>
      </c>
    </row>
    <row r="212" spans="20:23" x14ac:dyDescent="0.3">
      <c r="T212">
        <v>3</v>
      </c>
      <c r="U212">
        <v>5</v>
      </c>
      <c r="V212">
        <v>9</v>
      </c>
      <c r="W212" cm="1">
        <f t="array" aca="1" ref="W212" ca="1">IF(AND(INDIRECT("B"&amp;(T212+70))="X",INDIRECT("B"&amp;(U212+70))="X",INDIRECT("B"&amp;(V212+70))="X"),1,0)+IF(AND(INDIRECT("C"&amp;(T212+70))="X",INDIRECT("C"&amp;(U212+70))="X",INDIRECT("C"&amp;(V212+70))="X"),1,0)+IF(AND(INDIRECT("D"&amp;(T212+70))="X",INDIRECT("D"&amp;(U212+70))="X",INDIRECT("D"&amp;(V212+70))="X"),1,0)+IF(AND(INDIRECT("E"&amp;(T212+70))="X",INDIRECT("E"&amp;(U212+70))="X",INDIRECT("E"&amp;(V212+70))="X"),1,0)+IF(AND(INDIRECT("F"&amp;(T212+70))="X",INDIRECT("F"&amp;(U212+70))="X",INDIRECT("F"&amp;(V212+70))="X"),1,0)+IF(AND(INDIRECT("G"&amp;(T212+70))="X",INDIRECT("G"&amp;(U212+70))="X",INDIRECT("G"&amp;(V212+70))="X"),1,0)+IF(AND(INDIRECT("H"&amp;(T212+70))="X",INDIRECT("H"&amp;(U212+70))="X",INDIRECT("H"&amp;(V212+70))="X"),1,0)+IF(AND(INDIRECT("I"&amp;(T212+70))="X",INDIRECT("I"&amp;(U212+70))="X",INDIRECT("I"&amp;(V212+70))="X"),1,0)+IF(AND(INDIRECT("J"&amp;(T212+70))="X",INDIRECT("J"&amp;(U212+70))="X",INDIRECT("J"&amp;(V212+70))="X"),1,0)+IF(AND(INDIRECT("K"&amp;(T212+70))="X",INDIRECT("K"&amp;(U212+70))="X",INDIRECT("K"&amp;(V212+70))="X"),1,0)+IF(AND(INDIRECT("L"&amp;(T212+70))="X",INDIRECT("L"&amp;(U212+70))="X",INDIRECT("L"&amp;(V212+70))="X"),1,0)+IF(AND(INDIRECT("M"&amp;(T212+70))="X",INDIRECT("M"&amp;(U212+70))="X",INDIRECT("M"&amp;(V212+70))="X"),1,0)+IF(AND(INDIRECT("N"&amp;(T212+70))="X",INDIRECT("N"&amp;(U212+70))="X",INDIRECT("N"&amp;(V212+70))="X"),1,0)+IF(AND(INDIRECT("O"&amp;(T212+70))="X",INDIRECT("O"&amp;(U212+70))="X",INDIRECT("O"&amp;(V212+70))="X"),1,0)+IF(AND(INDIRECT("P"&amp;(T212+70))="X",INDIRECT("P"&amp;(U212+70))="X",INDIRECT("P"&amp;(V212+70))="X"),1,0)+IF(AND(INDIRECT("Q"&amp;(T212+70))="X",INDIRECT("Q"&amp;(U212+70))="X",INDIRECT("Q"&amp;(V212+70))="X"),1,0)</f>
        <v>0</v>
      </c>
    </row>
    <row r="213" spans="20:23" x14ac:dyDescent="0.3">
      <c r="T213">
        <v>3</v>
      </c>
      <c r="U213">
        <v>5</v>
      </c>
      <c r="V213">
        <v>10</v>
      </c>
      <c r="W213" cm="1">
        <f t="array" aca="1" ref="W213" ca="1">IF(AND(INDIRECT("B"&amp;(T213+70))="X",INDIRECT("B"&amp;(U213+70))="X",INDIRECT("B"&amp;(V213+70))="X"),1,0)+IF(AND(INDIRECT("C"&amp;(T213+70))="X",INDIRECT("C"&amp;(U213+70))="X",INDIRECT("C"&amp;(V213+70))="X"),1,0)+IF(AND(INDIRECT("D"&amp;(T213+70))="X",INDIRECT("D"&amp;(U213+70))="X",INDIRECT("D"&amp;(V213+70))="X"),1,0)+IF(AND(INDIRECT("E"&amp;(T213+70))="X",INDIRECT("E"&amp;(U213+70))="X",INDIRECT("E"&amp;(V213+70))="X"),1,0)+IF(AND(INDIRECT("F"&amp;(T213+70))="X",INDIRECT("F"&amp;(U213+70))="X",INDIRECT("F"&amp;(V213+70))="X"),1,0)+IF(AND(INDIRECT("G"&amp;(T213+70))="X",INDIRECT("G"&amp;(U213+70))="X",INDIRECT("G"&amp;(V213+70))="X"),1,0)+IF(AND(INDIRECT("H"&amp;(T213+70))="X",INDIRECT("H"&amp;(U213+70))="X",INDIRECT("H"&amp;(V213+70))="X"),1,0)+IF(AND(INDIRECT("I"&amp;(T213+70))="X",INDIRECT("I"&amp;(U213+70))="X",INDIRECT("I"&amp;(V213+70))="X"),1,0)+IF(AND(INDIRECT("J"&amp;(T213+70))="X",INDIRECT("J"&amp;(U213+70))="X",INDIRECT("J"&amp;(V213+70))="X"),1,0)+IF(AND(INDIRECT("K"&amp;(T213+70))="X",INDIRECT("K"&amp;(U213+70))="X",INDIRECT("K"&amp;(V213+70))="X"),1,0)+IF(AND(INDIRECT("L"&amp;(T213+70))="X",INDIRECT("L"&amp;(U213+70))="X",INDIRECT("L"&amp;(V213+70))="X"),1,0)+IF(AND(INDIRECT("M"&amp;(T213+70))="X",INDIRECT("M"&amp;(U213+70))="X",INDIRECT("M"&amp;(V213+70))="X"),1,0)+IF(AND(INDIRECT("N"&amp;(T213+70))="X",INDIRECT("N"&amp;(U213+70))="X",INDIRECT("N"&amp;(V213+70))="X"),1,0)+IF(AND(INDIRECT("O"&amp;(T213+70))="X",INDIRECT("O"&amp;(U213+70))="X",INDIRECT("O"&amp;(V213+70))="X"),1,0)+IF(AND(INDIRECT("P"&amp;(T213+70))="X",INDIRECT("P"&amp;(U213+70))="X",INDIRECT("P"&amp;(V213+70))="X"),1,0)+IF(AND(INDIRECT("Q"&amp;(T213+70))="X",INDIRECT("Q"&amp;(U213+70))="X",INDIRECT("Q"&amp;(V213+70))="X"),1,0)</f>
        <v>0</v>
      </c>
    </row>
    <row r="214" spans="20:23" x14ac:dyDescent="0.3">
      <c r="T214">
        <v>3</v>
      </c>
      <c r="U214">
        <v>5</v>
      </c>
      <c r="V214">
        <v>11</v>
      </c>
      <c r="W214" cm="1">
        <f t="array" aca="1" ref="W214" ca="1">IF(AND(INDIRECT("B"&amp;(T214+70))="X",INDIRECT("B"&amp;(U214+70))="X",INDIRECT("B"&amp;(V214+70))="X"),1,0)+IF(AND(INDIRECT("C"&amp;(T214+70))="X",INDIRECT("C"&amp;(U214+70))="X",INDIRECT("C"&amp;(V214+70))="X"),1,0)+IF(AND(INDIRECT("D"&amp;(T214+70))="X",INDIRECT("D"&amp;(U214+70))="X",INDIRECT("D"&amp;(V214+70))="X"),1,0)+IF(AND(INDIRECT("E"&amp;(T214+70))="X",INDIRECT("E"&amp;(U214+70))="X",INDIRECT("E"&amp;(V214+70))="X"),1,0)+IF(AND(INDIRECT("F"&amp;(T214+70))="X",INDIRECT("F"&amp;(U214+70))="X",INDIRECT("F"&amp;(V214+70))="X"),1,0)+IF(AND(INDIRECT("G"&amp;(T214+70))="X",INDIRECT("G"&amp;(U214+70))="X",INDIRECT("G"&amp;(V214+70))="X"),1,0)+IF(AND(INDIRECT("H"&amp;(T214+70))="X",INDIRECT("H"&amp;(U214+70))="X",INDIRECT("H"&amp;(V214+70))="X"),1,0)+IF(AND(INDIRECT("I"&amp;(T214+70))="X",INDIRECT("I"&amp;(U214+70))="X",INDIRECT("I"&amp;(V214+70))="X"),1,0)+IF(AND(INDIRECT("J"&amp;(T214+70))="X",INDIRECT("J"&amp;(U214+70))="X",INDIRECT("J"&amp;(V214+70))="X"),1,0)+IF(AND(INDIRECT("K"&amp;(T214+70))="X",INDIRECT("K"&amp;(U214+70))="X",INDIRECT("K"&amp;(V214+70))="X"),1,0)+IF(AND(INDIRECT("L"&amp;(T214+70))="X",INDIRECT("L"&amp;(U214+70))="X",INDIRECT("L"&amp;(V214+70))="X"),1,0)+IF(AND(INDIRECT("M"&amp;(T214+70))="X",INDIRECT("M"&amp;(U214+70))="X",INDIRECT("M"&amp;(V214+70))="X"),1,0)+IF(AND(INDIRECT("N"&amp;(T214+70))="X",INDIRECT("N"&amp;(U214+70))="X",INDIRECT("N"&amp;(V214+70))="X"),1,0)+IF(AND(INDIRECT("O"&amp;(T214+70))="X",INDIRECT("O"&amp;(U214+70))="X",INDIRECT("O"&amp;(V214+70))="X"),1,0)+IF(AND(INDIRECT("P"&amp;(T214+70))="X",INDIRECT("P"&amp;(U214+70))="X",INDIRECT("P"&amp;(V214+70))="X"),1,0)+IF(AND(INDIRECT("Q"&amp;(T214+70))="X",INDIRECT("Q"&amp;(U214+70))="X",INDIRECT("Q"&amp;(V214+70))="X"),1,0)</f>
        <v>0</v>
      </c>
    </row>
    <row r="215" spans="20:23" x14ac:dyDescent="0.3">
      <c r="T215">
        <v>3</v>
      </c>
      <c r="U215">
        <v>5</v>
      </c>
      <c r="V215">
        <v>12</v>
      </c>
      <c r="W215" cm="1">
        <f t="array" aca="1" ref="W215" ca="1">IF(AND(INDIRECT("B"&amp;(T215+70))="X",INDIRECT("B"&amp;(U215+70))="X",INDIRECT("B"&amp;(V215+70))="X"),1,0)+IF(AND(INDIRECT("C"&amp;(T215+70))="X",INDIRECT("C"&amp;(U215+70))="X",INDIRECT("C"&amp;(V215+70))="X"),1,0)+IF(AND(INDIRECT("D"&amp;(T215+70))="X",INDIRECT("D"&amp;(U215+70))="X",INDIRECT("D"&amp;(V215+70))="X"),1,0)+IF(AND(INDIRECT("E"&amp;(T215+70))="X",INDIRECT("E"&amp;(U215+70))="X",INDIRECT("E"&amp;(V215+70))="X"),1,0)+IF(AND(INDIRECT("F"&amp;(T215+70))="X",INDIRECT("F"&amp;(U215+70))="X",INDIRECT("F"&amp;(V215+70))="X"),1,0)+IF(AND(INDIRECT("G"&amp;(T215+70))="X",INDIRECT("G"&amp;(U215+70))="X",INDIRECT("G"&amp;(V215+70))="X"),1,0)+IF(AND(INDIRECT("H"&amp;(T215+70))="X",INDIRECT("H"&amp;(U215+70))="X",INDIRECT("H"&amp;(V215+70))="X"),1,0)+IF(AND(INDIRECT("I"&amp;(T215+70))="X",INDIRECT("I"&amp;(U215+70))="X",INDIRECT("I"&amp;(V215+70))="X"),1,0)+IF(AND(INDIRECT("J"&amp;(T215+70))="X",INDIRECT("J"&amp;(U215+70))="X",INDIRECT("J"&amp;(V215+70))="X"),1,0)+IF(AND(INDIRECT("K"&amp;(T215+70))="X",INDIRECT("K"&amp;(U215+70))="X",INDIRECT("K"&amp;(V215+70))="X"),1,0)+IF(AND(INDIRECT("L"&amp;(T215+70))="X",INDIRECT("L"&amp;(U215+70))="X",INDIRECT("L"&amp;(V215+70))="X"),1,0)+IF(AND(INDIRECT("M"&amp;(T215+70))="X",INDIRECT("M"&amp;(U215+70))="X",INDIRECT("M"&amp;(V215+70))="X"),1,0)+IF(AND(INDIRECT("N"&amp;(T215+70))="X",INDIRECT("N"&amp;(U215+70))="X",INDIRECT("N"&amp;(V215+70))="X"),1,0)+IF(AND(INDIRECT("O"&amp;(T215+70))="X",INDIRECT("O"&amp;(U215+70))="X",INDIRECT("O"&amp;(V215+70))="X"),1,0)+IF(AND(INDIRECT("P"&amp;(T215+70))="X",INDIRECT("P"&amp;(U215+70))="X",INDIRECT("P"&amp;(V215+70))="X"),1,0)+IF(AND(INDIRECT("Q"&amp;(T215+70))="X",INDIRECT("Q"&amp;(U215+70))="X",INDIRECT("Q"&amp;(V215+70))="X"),1,0)</f>
        <v>2</v>
      </c>
    </row>
    <row r="216" spans="20:23" x14ac:dyDescent="0.3">
      <c r="T216">
        <v>3</v>
      </c>
      <c r="U216">
        <v>5</v>
      </c>
      <c r="V216">
        <v>13</v>
      </c>
      <c r="W216" cm="1">
        <f t="array" aca="1" ref="W216" ca="1">IF(AND(INDIRECT("B"&amp;(T216+70))="X",INDIRECT("B"&amp;(U216+70))="X",INDIRECT("B"&amp;(V216+70))="X"),1,0)+IF(AND(INDIRECT("C"&amp;(T216+70))="X",INDIRECT("C"&amp;(U216+70))="X",INDIRECT("C"&amp;(V216+70))="X"),1,0)+IF(AND(INDIRECT("D"&amp;(T216+70))="X",INDIRECT("D"&amp;(U216+70))="X",INDIRECT("D"&amp;(V216+70))="X"),1,0)+IF(AND(INDIRECT("E"&amp;(T216+70))="X",INDIRECT("E"&amp;(U216+70))="X",INDIRECT("E"&amp;(V216+70))="X"),1,0)+IF(AND(INDIRECT("F"&amp;(T216+70))="X",INDIRECT("F"&amp;(U216+70))="X",INDIRECT("F"&amp;(V216+70))="X"),1,0)+IF(AND(INDIRECT("G"&amp;(T216+70))="X",INDIRECT("G"&amp;(U216+70))="X",INDIRECT("G"&amp;(V216+70))="X"),1,0)+IF(AND(INDIRECT("H"&amp;(T216+70))="X",INDIRECT("H"&amp;(U216+70))="X",INDIRECT("H"&amp;(V216+70))="X"),1,0)+IF(AND(INDIRECT("I"&amp;(T216+70))="X",INDIRECT("I"&amp;(U216+70))="X",INDIRECT("I"&amp;(V216+70))="X"),1,0)+IF(AND(INDIRECT("J"&amp;(T216+70))="X",INDIRECT("J"&amp;(U216+70))="X",INDIRECT("J"&amp;(V216+70))="X"),1,0)+IF(AND(INDIRECT("K"&amp;(T216+70))="X",INDIRECT("K"&amp;(U216+70))="X",INDIRECT("K"&amp;(V216+70))="X"),1,0)+IF(AND(INDIRECT("L"&amp;(T216+70))="X",INDIRECT("L"&amp;(U216+70))="X",INDIRECT("L"&amp;(V216+70))="X"),1,0)+IF(AND(INDIRECT("M"&amp;(T216+70))="X",INDIRECT("M"&amp;(U216+70))="X",INDIRECT("M"&amp;(V216+70))="X"),1,0)+IF(AND(INDIRECT("N"&amp;(T216+70))="X",INDIRECT("N"&amp;(U216+70))="X",INDIRECT("N"&amp;(V216+70))="X"),1,0)+IF(AND(INDIRECT("O"&amp;(T216+70))="X",INDIRECT("O"&amp;(U216+70))="X",INDIRECT("O"&amp;(V216+70))="X"),1,0)+IF(AND(INDIRECT("P"&amp;(T216+70))="X",INDIRECT("P"&amp;(U216+70))="X",INDIRECT("P"&amp;(V216+70))="X"),1,0)+IF(AND(INDIRECT("Q"&amp;(T216+70))="X",INDIRECT("Q"&amp;(U216+70))="X",INDIRECT("Q"&amp;(V216+70))="X"),1,0)</f>
        <v>1</v>
      </c>
    </row>
    <row r="217" spans="20:23" x14ac:dyDescent="0.3">
      <c r="T217">
        <v>3</v>
      </c>
      <c r="U217">
        <v>5</v>
      </c>
      <c r="V217">
        <v>14</v>
      </c>
      <c r="W217" cm="1">
        <f t="array" aca="1" ref="W217" ca="1">IF(AND(INDIRECT("B"&amp;(T217+70))="X",INDIRECT("B"&amp;(U217+70))="X",INDIRECT("B"&amp;(V217+70))="X"),1,0)+IF(AND(INDIRECT("C"&amp;(T217+70))="X",INDIRECT("C"&amp;(U217+70))="X",INDIRECT("C"&amp;(V217+70))="X"),1,0)+IF(AND(INDIRECT("D"&amp;(T217+70))="X",INDIRECT("D"&amp;(U217+70))="X",INDIRECT("D"&amp;(V217+70))="X"),1,0)+IF(AND(INDIRECT("E"&amp;(T217+70))="X",INDIRECT("E"&amp;(U217+70))="X",INDIRECT("E"&amp;(V217+70))="X"),1,0)+IF(AND(INDIRECT("F"&amp;(T217+70))="X",INDIRECT("F"&amp;(U217+70))="X",INDIRECT("F"&amp;(V217+70))="X"),1,0)+IF(AND(INDIRECT("G"&amp;(T217+70))="X",INDIRECT("G"&amp;(U217+70))="X",INDIRECT("G"&amp;(V217+70))="X"),1,0)+IF(AND(INDIRECT("H"&amp;(T217+70))="X",INDIRECT("H"&amp;(U217+70))="X",INDIRECT("H"&amp;(V217+70))="X"),1,0)+IF(AND(INDIRECT("I"&amp;(T217+70))="X",INDIRECT("I"&amp;(U217+70))="X",INDIRECT("I"&amp;(V217+70))="X"),1,0)+IF(AND(INDIRECT("J"&amp;(T217+70))="X",INDIRECT("J"&amp;(U217+70))="X",INDIRECT("J"&amp;(V217+70))="X"),1,0)+IF(AND(INDIRECT("K"&amp;(T217+70))="X",INDIRECT("K"&amp;(U217+70))="X",INDIRECT("K"&amp;(V217+70))="X"),1,0)+IF(AND(INDIRECT("L"&amp;(T217+70))="X",INDIRECT("L"&amp;(U217+70))="X",INDIRECT("L"&amp;(V217+70))="X"),1,0)+IF(AND(INDIRECT("M"&amp;(T217+70))="X",INDIRECT("M"&amp;(U217+70))="X",INDIRECT("M"&amp;(V217+70))="X"),1,0)+IF(AND(INDIRECT("N"&amp;(T217+70))="X",INDIRECT("N"&amp;(U217+70))="X",INDIRECT("N"&amp;(V217+70))="X"),1,0)+IF(AND(INDIRECT("O"&amp;(T217+70))="X",INDIRECT("O"&amp;(U217+70))="X",INDIRECT("O"&amp;(V217+70))="X"),1,0)+IF(AND(INDIRECT("P"&amp;(T217+70))="X",INDIRECT("P"&amp;(U217+70))="X",INDIRECT("P"&amp;(V217+70))="X"),1,0)+IF(AND(INDIRECT("Q"&amp;(T217+70))="X",INDIRECT("Q"&amp;(U217+70))="X",INDIRECT("Q"&amp;(V217+70))="X"),1,0)</f>
        <v>1</v>
      </c>
    </row>
    <row r="218" spans="20:23" x14ac:dyDescent="0.3">
      <c r="T218">
        <v>3</v>
      </c>
      <c r="U218">
        <v>6</v>
      </c>
      <c r="V218">
        <v>7</v>
      </c>
      <c r="W218" cm="1">
        <f t="array" aca="1" ref="W218" ca="1">IF(AND(INDIRECT("B"&amp;(T218+70))="X",INDIRECT("B"&amp;(U218+70))="X",INDIRECT("B"&amp;(V218+70))="X"),1,0)+IF(AND(INDIRECT("C"&amp;(T218+70))="X",INDIRECT("C"&amp;(U218+70))="X",INDIRECT("C"&amp;(V218+70))="X"),1,0)+IF(AND(INDIRECT("D"&amp;(T218+70))="X",INDIRECT("D"&amp;(U218+70))="X",INDIRECT("D"&amp;(V218+70))="X"),1,0)+IF(AND(INDIRECT("E"&amp;(T218+70))="X",INDIRECT("E"&amp;(U218+70))="X",INDIRECT("E"&amp;(V218+70))="X"),1,0)+IF(AND(INDIRECT("F"&amp;(T218+70))="X",INDIRECT("F"&amp;(U218+70))="X",INDIRECT("F"&amp;(V218+70))="X"),1,0)+IF(AND(INDIRECT("G"&amp;(T218+70))="X",INDIRECT("G"&amp;(U218+70))="X",INDIRECT("G"&amp;(V218+70))="X"),1,0)+IF(AND(INDIRECT("H"&amp;(T218+70))="X",INDIRECT("H"&amp;(U218+70))="X",INDIRECT("H"&amp;(V218+70))="X"),1,0)+IF(AND(INDIRECT("I"&amp;(T218+70))="X",INDIRECT("I"&amp;(U218+70))="X",INDIRECT("I"&amp;(V218+70))="X"),1,0)+IF(AND(INDIRECT("J"&amp;(T218+70))="X",INDIRECT("J"&amp;(U218+70))="X",INDIRECT("J"&amp;(V218+70))="X"),1,0)+IF(AND(INDIRECT("K"&amp;(T218+70))="X",INDIRECT("K"&amp;(U218+70))="X",INDIRECT("K"&amp;(V218+70))="X"),1,0)+IF(AND(INDIRECT("L"&amp;(T218+70))="X",INDIRECT("L"&amp;(U218+70))="X",INDIRECT("L"&amp;(V218+70))="X"),1,0)+IF(AND(INDIRECT("M"&amp;(T218+70))="X",INDIRECT("M"&amp;(U218+70))="X",INDIRECT("M"&amp;(V218+70))="X"),1,0)+IF(AND(INDIRECT("N"&amp;(T218+70))="X",INDIRECT("N"&amp;(U218+70))="X",INDIRECT("N"&amp;(V218+70))="X"),1,0)+IF(AND(INDIRECT("O"&amp;(T218+70))="X",INDIRECT("O"&amp;(U218+70))="X",INDIRECT("O"&amp;(V218+70))="X"),1,0)+IF(AND(INDIRECT("P"&amp;(T218+70))="X",INDIRECT("P"&amp;(U218+70))="X",INDIRECT("P"&amp;(V218+70))="X"),1,0)+IF(AND(INDIRECT("Q"&amp;(T218+70))="X",INDIRECT("Q"&amp;(U218+70))="X",INDIRECT("Q"&amp;(V218+70))="X"),1,0)</f>
        <v>0</v>
      </c>
    </row>
    <row r="219" spans="20:23" x14ac:dyDescent="0.3">
      <c r="T219">
        <v>3</v>
      </c>
      <c r="U219">
        <v>6</v>
      </c>
      <c r="V219">
        <v>8</v>
      </c>
      <c r="W219" cm="1">
        <f t="array" aca="1" ref="W219" ca="1">IF(AND(INDIRECT("B"&amp;(T219+70))="X",INDIRECT("B"&amp;(U219+70))="X",INDIRECT("B"&amp;(V219+70))="X"),1,0)+IF(AND(INDIRECT("C"&amp;(T219+70))="X",INDIRECT("C"&amp;(U219+70))="X",INDIRECT("C"&amp;(V219+70))="X"),1,0)+IF(AND(INDIRECT("D"&amp;(T219+70))="X",INDIRECT("D"&amp;(U219+70))="X",INDIRECT("D"&amp;(V219+70))="X"),1,0)+IF(AND(INDIRECT("E"&amp;(T219+70))="X",INDIRECT("E"&amp;(U219+70))="X",INDIRECT("E"&amp;(V219+70))="X"),1,0)+IF(AND(INDIRECT("F"&amp;(T219+70))="X",INDIRECT("F"&amp;(U219+70))="X",INDIRECT("F"&amp;(V219+70))="X"),1,0)+IF(AND(INDIRECT("G"&amp;(T219+70))="X",INDIRECT("G"&amp;(U219+70))="X",INDIRECT("G"&amp;(V219+70))="X"),1,0)+IF(AND(INDIRECT("H"&amp;(T219+70))="X",INDIRECT("H"&amp;(U219+70))="X",INDIRECT("H"&amp;(V219+70))="X"),1,0)+IF(AND(INDIRECT("I"&amp;(T219+70))="X",INDIRECT("I"&amp;(U219+70))="X",INDIRECT("I"&amp;(V219+70))="X"),1,0)+IF(AND(INDIRECT("J"&amp;(T219+70))="X",INDIRECT("J"&amp;(U219+70))="X",INDIRECT("J"&amp;(V219+70))="X"),1,0)+IF(AND(INDIRECT("K"&amp;(T219+70))="X",INDIRECT("K"&amp;(U219+70))="X",INDIRECT("K"&amp;(V219+70))="X"),1,0)+IF(AND(INDIRECT("L"&amp;(T219+70))="X",INDIRECT("L"&amp;(U219+70))="X",INDIRECT("L"&amp;(V219+70))="X"),1,0)+IF(AND(INDIRECT("M"&amp;(T219+70))="X",INDIRECT("M"&amp;(U219+70))="X",INDIRECT("M"&amp;(V219+70))="X"),1,0)+IF(AND(INDIRECT("N"&amp;(T219+70))="X",INDIRECT("N"&amp;(U219+70))="X",INDIRECT("N"&amp;(V219+70))="X"),1,0)+IF(AND(INDIRECT("O"&amp;(T219+70))="X",INDIRECT("O"&amp;(U219+70))="X",INDIRECT("O"&amp;(V219+70))="X"),1,0)+IF(AND(INDIRECT("P"&amp;(T219+70))="X",INDIRECT("P"&amp;(U219+70))="X",INDIRECT("P"&amp;(V219+70))="X"),1,0)+IF(AND(INDIRECT("Q"&amp;(T219+70))="X",INDIRECT("Q"&amp;(U219+70))="X",INDIRECT("Q"&amp;(V219+70))="X"),1,0)</f>
        <v>1</v>
      </c>
    </row>
    <row r="220" spans="20:23" x14ac:dyDescent="0.3">
      <c r="T220">
        <v>3</v>
      </c>
      <c r="U220">
        <v>6</v>
      </c>
      <c r="V220">
        <v>9</v>
      </c>
      <c r="W220" cm="1">
        <f t="array" aca="1" ref="W220" ca="1">IF(AND(INDIRECT("B"&amp;(T220+70))="X",INDIRECT("B"&amp;(U220+70))="X",INDIRECT("B"&amp;(V220+70))="X"),1,0)+IF(AND(INDIRECT("C"&amp;(T220+70))="X",INDIRECT("C"&amp;(U220+70))="X",INDIRECT("C"&amp;(V220+70))="X"),1,0)+IF(AND(INDIRECT("D"&amp;(T220+70))="X",INDIRECT("D"&amp;(U220+70))="X",INDIRECT("D"&amp;(V220+70))="X"),1,0)+IF(AND(INDIRECT("E"&amp;(T220+70))="X",INDIRECT("E"&amp;(U220+70))="X",INDIRECT("E"&amp;(V220+70))="X"),1,0)+IF(AND(INDIRECT("F"&amp;(T220+70))="X",INDIRECT("F"&amp;(U220+70))="X",INDIRECT("F"&amp;(V220+70))="X"),1,0)+IF(AND(INDIRECT("G"&amp;(T220+70))="X",INDIRECT("G"&amp;(U220+70))="X",INDIRECT("G"&amp;(V220+70))="X"),1,0)+IF(AND(INDIRECT("H"&amp;(T220+70))="X",INDIRECT("H"&amp;(U220+70))="X",INDIRECT("H"&amp;(V220+70))="X"),1,0)+IF(AND(INDIRECT("I"&amp;(T220+70))="X",INDIRECT("I"&amp;(U220+70))="X",INDIRECT("I"&amp;(V220+70))="X"),1,0)+IF(AND(INDIRECT("J"&amp;(T220+70))="X",INDIRECT("J"&amp;(U220+70))="X",INDIRECT("J"&amp;(V220+70))="X"),1,0)+IF(AND(INDIRECT("K"&amp;(T220+70))="X",INDIRECT("K"&amp;(U220+70))="X",INDIRECT("K"&amp;(V220+70))="X"),1,0)+IF(AND(INDIRECT("L"&amp;(T220+70))="X",INDIRECT("L"&amp;(U220+70))="X",INDIRECT("L"&amp;(V220+70))="X"),1,0)+IF(AND(INDIRECT("M"&amp;(T220+70))="X",INDIRECT("M"&amp;(U220+70))="X",INDIRECT("M"&amp;(V220+70))="X"),1,0)+IF(AND(INDIRECT("N"&amp;(T220+70))="X",INDIRECT("N"&amp;(U220+70))="X",INDIRECT("N"&amp;(V220+70))="X"),1,0)+IF(AND(INDIRECT("O"&amp;(T220+70))="X",INDIRECT("O"&amp;(U220+70))="X",INDIRECT("O"&amp;(V220+70))="X"),1,0)+IF(AND(INDIRECT("P"&amp;(T220+70))="X",INDIRECT("P"&amp;(U220+70))="X",INDIRECT("P"&amp;(V220+70))="X"),1,0)+IF(AND(INDIRECT("Q"&amp;(T220+70))="X",INDIRECT("Q"&amp;(U220+70))="X",INDIRECT("Q"&amp;(V220+70))="X"),1,0)</f>
        <v>0</v>
      </c>
    </row>
    <row r="221" spans="20:23" x14ac:dyDescent="0.3">
      <c r="T221">
        <v>3</v>
      </c>
      <c r="U221">
        <v>6</v>
      </c>
      <c r="V221">
        <v>10</v>
      </c>
      <c r="W221" cm="1">
        <f t="array" aca="1" ref="W221" ca="1">IF(AND(INDIRECT("B"&amp;(T221+70))="X",INDIRECT("B"&amp;(U221+70))="X",INDIRECT("B"&amp;(V221+70))="X"),1,0)+IF(AND(INDIRECT("C"&amp;(T221+70))="X",INDIRECT("C"&amp;(U221+70))="X",INDIRECT("C"&amp;(V221+70))="X"),1,0)+IF(AND(INDIRECT("D"&amp;(T221+70))="X",INDIRECT("D"&amp;(U221+70))="X",INDIRECT("D"&amp;(V221+70))="X"),1,0)+IF(AND(INDIRECT("E"&amp;(T221+70))="X",INDIRECT("E"&amp;(U221+70))="X",INDIRECT("E"&amp;(V221+70))="X"),1,0)+IF(AND(INDIRECT("F"&amp;(T221+70))="X",INDIRECT("F"&amp;(U221+70))="X",INDIRECT("F"&amp;(V221+70))="X"),1,0)+IF(AND(INDIRECT("G"&amp;(T221+70))="X",INDIRECT("G"&amp;(U221+70))="X",INDIRECT("G"&amp;(V221+70))="X"),1,0)+IF(AND(INDIRECT("H"&amp;(T221+70))="X",INDIRECT("H"&amp;(U221+70))="X",INDIRECT("H"&amp;(V221+70))="X"),1,0)+IF(AND(INDIRECT("I"&amp;(T221+70))="X",INDIRECT("I"&amp;(U221+70))="X",INDIRECT("I"&amp;(V221+70))="X"),1,0)+IF(AND(INDIRECT("J"&amp;(T221+70))="X",INDIRECT("J"&amp;(U221+70))="X",INDIRECT("J"&amp;(V221+70))="X"),1,0)+IF(AND(INDIRECT("K"&amp;(T221+70))="X",INDIRECT("K"&amp;(U221+70))="X",INDIRECT("K"&amp;(V221+70))="X"),1,0)+IF(AND(INDIRECT("L"&amp;(T221+70))="X",INDIRECT("L"&amp;(U221+70))="X",INDIRECT("L"&amp;(V221+70))="X"),1,0)+IF(AND(INDIRECT("M"&amp;(T221+70))="X",INDIRECT("M"&amp;(U221+70))="X",INDIRECT("M"&amp;(V221+70))="X"),1,0)+IF(AND(INDIRECT("N"&amp;(T221+70))="X",INDIRECT("N"&amp;(U221+70))="X",INDIRECT("N"&amp;(V221+70))="X"),1,0)+IF(AND(INDIRECT("O"&amp;(T221+70))="X",INDIRECT("O"&amp;(U221+70))="X",INDIRECT("O"&amp;(V221+70))="X"),1,0)+IF(AND(INDIRECT("P"&amp;(T221+70))="X",INDIRECT("P"&amp;(U221+70))="X",INDIRECT("P"&amp;(V221+70))="X"),1,0)+IF(AND(INDIRECT("Q"&amp;(T221+70))="X",INDIRECT("Q"&amp;(U221+70))="X",INDIRECT("Q"&amp;(V221+70))="X"),1,0)</f>
        <v>1</v>
      </c>
    </row>
    <row r="222" spans="20:23" x14ac:dyDescent="0.3">
      <c r="T222">
        <v>3</v>
      </c>
      <c r="U222">
        <v>6</v>
      </c>
      <c r="V222">
        <v>11</v>
      </c>
      <c r="W222" cm="1">
        <f t="array" aca="1" ref="W222" ca="1">IF(AND(INDIRECT("B"&amp;(T222+70))="X",INDIRECT("B"&amp;(U222+70))="X",INDIRECT("B"&amp;(V222+70))="X"),1,0)+IF(AND(INDIRECT("C"&amp;(T222+70))="X",INDIRECT("C"&amp;(U222+70))="X",INDIRECT("C"&amp;(V222+70))="X"),1,0)+IF(AND(INDIRECT("D"&amp;(T222+70))="X",INDIRECT("D"&amp;(U222+70))="X",INDIRECT("D"&amp;(V222+70))="X"),1,0)+IF(AND(INDIRECT("E"&amp;(T222+70))="X",INDIRECT("E"&amp;(U222+70))="X",INDIRECT("E"&amp;(V222+70))="X"),1,0)+IF(AND(INDIRECT("F"&amp;(T222+70))="X",INDIRECT("F"&amp;(U222+70))="X",INDIRECT("F"&amp;(V222+70))="X"),1,0)+IF(AND(INDIRECT("G"&amp;(T222+70))="X",INDIRECT("G"&amp;(U222+70))="X",INDIRECT("G"&amp;(V222+70))="X"),1,0)+IF(AND(INDIRECT("H"&amp;(T222+70))="X",INDIRECT("H"&amp;(U222+70))="X",INDIRECT("H"&amp;(V222+70))="X"),1,0)+IF(AND(INDIRECT("I"&amp;(T222+70))="X",INDIRECT("I"&amp;(U222+70))="X",INDIRECT("I"&amp;(V222+70))="X"),1,0)+IF(AND(INDIRECT("J"&amp;(T222+70))="X",INDIRECT("J"&amp;(U222+70))="X",INDIRECT("J"&amp;(V222+70))="X"),1,0)+IF(AND(INDIRECT("K"&amp;(T222+70))="X",INDIRECT("K"&amp;(U222+70))="X",INDIRECT("K"&amp;(V222+70))="X"),1,0)+IF(AND(INDIRECT("L"&amp;(T222+70))="X",INDIRECT("L"&amp;(U222+70))="X",INDIRECT("L"&amp;(V222+70))="X"),1,0)+IF(AND(INDIRECT("M"&amp;(T222+70))="X",INDIRECT("M"&amp;(U222+70))="X",INDIRECT("M"&amp;(V222+70))="X"),1,0)+IF(AND(INDIRECT("N"&amp;(T222+70))="X",INDIRECT("N"&amp;(U222+70))="X",INDIRECT("N"&amp;(V222+70))="X"),1,0)+IF(AND(INDIRECT("O"&amp;(T222+70))="X",INDIRECT("O"&amp;(U222+70))="X",INDIRECT("O"&amp;(V222+70))="X"),1,0)+IF(AND(INDIRECT("P"&amp;(T222+70))="X",INDIRECT("P"&amp;(U222+70))="X",INDIRECT("P"&amp;(V222+70))="X"),1,0)+IF(AND(INDIRECT("Q"&amp;(T222+70))="X",INDIRECT("Q"&amp;(U222+70))="X",INDIRECT("Q"&amp;(V222+70))="X"),1,0)</f>
        <v>1</v>
      </c>
    </row>
    <row r="223" spans="20:23" x14ac:dyDescent="0.3">
      <c r="T223">
        <v>3</v>
      </c>
      <c r="U223">
        <v>6</v>
      </c>
      <c r="V223">
        <v>12</v>
      </c>
      <c r="W223" cm="1">
        <f t="array" aca="1" ref="W223" ca="1">IF(AND(INDIRECT("B"&amp;(T223+70))="X",INDIRECT("B"&amp;(U223+70))="X",INDIRECT("B"&amp;(V223+70))="X"),1,0)+IF(AND(INDIRECT("C"&amp;(T223+70))="X",INDIRECT("C"&amp;(U223+70))="X",INDIRECT("C"&amp;(V223+70))="X"),1,0)+IF(AND(INDIRECT("D"&amp;(T223+70))="X",INDIRECT("D"&amp;(U223+70))="X",INDIRECT("D"&amp;(V223+70))="X"),1,0)+IF(AND(INDIRECT("E"&amp;(T223+70))="X",INDIRECT("E"&amp;(U223+70))="X",INDIRECT("E"&amp;(V223+70))="X"),1,0)+IF(AND(INDIRECT("F"&amp;(T223+70))="X",INDIRECT("F"&amp;(U223+70))="X",INDIRECT("F"&amp;(V223+70))="X"),1,0)+IF(AND(INDIRECT("G"&amp;(T223+70))="X",INDIRECT("G"&amp;(U223+70))="X",INDIRECT("G"&amp;(V223+70))="X"),1,0)+IF(AND(INDIRECT("H"&amp;(T223+70))="X",INDIRECT("H"&amp;(U223+70))="X",INDIRECT("H"&amp;(V223+70))="X"),1,0)+IF(AND(INDIRECT("I"&amp;(T223+70))="X",INDIRECT("I"&amp;(U223+70))="X",INDIRECT("I"&amp;(V223+70))="X"),1,0)+IF(AND(INDIRECT("J"&amp;(T223+70))="X",INDIRECT("J"&amp;(U223+70))="X",INDIRECT("J"&amp;(V223+70))="X"),1,0)+IF(AND(INDIRECT("K"&amp;(T223+70))="X",INDIRECT("K"&amp;(U223+70))="X",INDIRECT("K"&amp;(V223+70))="X"),1,0)+IF(AND(INDIRECT("L"&amp;(T223+70))="X",INDIRECT("L"&amp;(U223+70))="X",INDIRECT("L"&amp;(V223+70))="X"),1,0)+IF(AND(INDIRECT("M"&amp;(T223+70))="X",INDIRECT("M"&amp;(U223+70))="X",INDIRECT("M"&amp;(V223+70))="X"),1,0)+IF(AND(INDIRECT("N"&amp;(T223+70))="X",INDIRECT("N"&amp;(U223+70))="X",INDIRECT("N"&amp;(V223+70))="X"),1,0)+IF(AND(INDIRECT("O"&amp;(T223+70))="X",INDIRECT("O"&amp;(U223+70))="X",INDIRECT("O"&amp;(V223+70))="X"),1,0)+IF(AND(INDIRECT("P"&amp;(T223+70))="X",INDIRECT("P"&amp;(U223+70))="X",INDIRECT("P"&amp;(V223+70))="X"),1,0)+IF(AND(INDIRECT("Q"&amp;(T223+70))="X",INDIRECT("Q"&amp;(U223+70))="X",INDIRECT("Q"&amp;(V223+70))="X"),1,0)</f>
        <v>2</v>
      </c>
    </row>
    <row r="224" spans="20:23" x14ac:dyDescent="0.3">
      <c r="T224">
        <v>3</v>
      </c>
      <c r="U224">
        <v>6</v>
      </c>
      <c r="V224">
        <v>13</v>
      </c>
      <c r="W224" cm="1">
        <f t="array" aca="1" ref="W224" ca="1">IF(AND(INDIRECT("B"&amp;(T224+70))="X",INDIRECT("B"&amp;(U224+70))="X",INDIRECT("B"&amp;(V224+70))="X"),1,0)+IF(AND(INDIRECT("C"&amp;(T224+70))="X",INDIRECT("C"&amp;(U224+70))="X",INDIRECT("C"&amp;(V224+70))="X"),1,0)+IF(AND(INDIRECT("D"&amp;(T224+70))="X",INDIRECT("D"&amp;(U224+70))="X",INDIRECT("D"&amp;(V224+70))="X"),1,0)+IF(AND(INDIRECT("E"&amp;(T224+70))="X",INDIRECT("E"&amp;(U224+70))="X",INDIRECT("E"&amp;(V224+70))="X"),1,0)+IF(AND(INDIRECT("F"&amp;(T224+70))="X",INDIRECT("F"&amp;(U224+70))="X",INDIRECT("F"&amp;(V224+70))="X"),1,0)+IF(AND(INDIRECT("G"&amp;(T224+70))="X",INDIRECT("G"&amp;(U224+70))="X",INDIRECT("G"&amp;(V224+70))="X"),1,0)+IF(AND(INDIRECT("H"&amp;(T224+70))="X",INDIRECT("H"&amp;(U224+70))="X",INDIRECT("H"&amp;(V224+70))="X"),1,0)+IF(AND(INDIRECT("I"&amp;(T224+70))="X",INDIRECT("I"&amp;(U224+70))="X",INDIRECT("I"&amp;(V224+70))="X"),1,0)+IF(AND(INDIRECT("J"&amp;(T224+70))="X",INDIRECT("J"&amp;(U224+70))="X",INDIRECT("J"&amp;(V224+70))="X"),1,0)+IF(AND(INDIRECT("K"&amp;(T224+70))="X",INDIRECT("K"&amp;(U224+70))="X",INDIRECT("K"&amp;(V224+70))="X"),1,0)+IF(AND(INDIRECT("L"&amp;(T224+70))="X",INDIRECT("L"&amp;(U224+70))="X",INDIRECT("L"&amp;(V224+70))="X"),1,0)+IF(AND(INDIRECT("M"&amp;(T224+70))="X",INDIRECT("M"&amp;(U224+70))="X",INDIRECT("M"&amp;(V224+70))="X"),1,0)+IF(AND(INDIRECT("N"&amp;(T224+70))="X",INDIRECT("N"&amp;(U224+70))="X",INDIRECT("N"&amp;(V224+70))="X"),1,0)+IF(AND(INDIRECT("O"&amp;(T224+70))="X",INDIRECT("O"&amp;(U224+70))="X",INDIRECT("O"&amp;(V224+70))="X"),1,0)+IF(AND(INDIRECT("P"&amp;(T224+70))="X",INDIRECT("P"&amp;(U224+70))="X",INDIRECT("P"&amp;(V224+70))="X"),1,0)+IF(AND(INDIRECT("Q"&amp;(T224+70))="X",INDIRECT("Q"&amp;(U224+70))="X",INDIRECT("Q"&amp;(V224+70))="X"),1,0)</f>
        <v>1</v>
      </c>
    </row>
    <row r="225" spans="20:23" x14ac:dyDescent="0.3">
      <c r="T225">
        <v>3</v>
      </c>
      <c r="U225">
        <v>6</v>
      </c>
      <c r="V225">
        <v>14</v>
      </c>
      <c r="W225" cm="1">
        <f t="array" aca="1" ref="W225" ca="1">IF(AND(INDIRECT("B"&amp;(T225+70))="X",INDIRECT("B"&amp;(U225+70))="X",INDIRECT("B"&amp;(V225+70))="X"),1,0)+IF(AND(INDIRECT("C"&amp;(T225+70))="X",INDIRECT("C"&amp;(U225+70))="X",INDIRECT("C"&amp;(V225+70))="X"),1,0)+IF(AND(INDIRECT("D"&amp;(T225+70))="X",INDIRECT("D"&amp;(U225+70))="X",INDIRECT("D"&amp;(V225+70))="X"),1,0)+IF(AND(INDIRECT("E"&amp;(T225+70))="X",INDIRECT("E"&amp;(U225+70))="X",INDIRECT("E"&amp;(V225+70))="X"),1,0)+IF(AND(INDIRECT("F"&amp;(T225+70))="X",INDIRECT("F"&amp;(U225+70))="X",INDIRECT("F"&amp;(V225+70))="X"),1,0)+IF(AND(INDIRECT("G"&amp;(T225+70))="X",INDIRECT("G"&amp;(U225+70))="X",INDIRECT("G"&amp;(V225+70))="X"),1,0)+IF(AND(INDIRECT("H"&amp;(T225+70))="X",INDIRECT("H"&amp;(U225+70))="X",INDIRECT("H"&amp;(V225+70))="X"),1,0)+IF(AND(INDIRECT("I"&amp;(T225+70))="X",INDIRECT("I"&amp;(U225+70))="X",INDIRECT("I"&amp;(V225+70))="X"),1,0)+IF(AND(INDIRECT("J"&amp;(T225+70))="X",INDIRECT("J"&amp;(U225+70))="X",INDIRECT("J"&amp;(V225+70))="X"),1,0)+IF(AND(INDIRECT("K"&amp;(T225+70))="X",INDIRECT("K"&amp;(U225+70))="X",INDIRECT("K"&amp;(V225+70))="X"),1,0)+IF(AND(INDIRECT("L"&amp;(T225+70))="X",INDIRECT("L"&amp;(U225+70))="X",INDIRECT("L"&amp;(V225+70))="X"),1,0)+IF(AND(INDIRECT("M"&amp;(T225+70))="X",INDIRECT("M"&amp;(U225+70))="X",INDIRECT("M"&amp;(V225+70))="X"),1,0)+IF(AND(INDIRECT("N"&amp;(T225+70))="X",INDIRECT("N"&amp;(U225+70))="X",INDIRECT("N"&amp;(V225+70))="X"),1,0)+IF(AND(INDIRECT("O"&amp;(T225+70))="X",INDIRECT("O"&amp;(U225+70))="X",INDIRECT("O"&amp;(V225+70))="X"),1,0)+IF(AND(INDIRECT("P"&amp;(T225+70))="X",INDIRECT("P"&amp;(U225+70))="X",INDIRECT("P"&amp;(V225+70))="X"),1,0)+IF(AND(INDIRECT("Q"&amp;(T225+70))="X",INDIRECT("Q"&amp;(U225+70))="X",INDIRECT("Q"&amp;(V225+70))="X"),1,0)</f>
        <v>1</v>
      </c>
    </row>
    <row r="226" spans="20:23" x14ac:dyDescent="0.3">
      <c r="T226">
        <v>3</v>
      </c>
      <c r="U226">
        <v>7</v>
      </c>
      <c r="V226">
        <v>8</v>
      </c>
      <c r="W226" cm="1">
        <f t="array" aca="1" ref="W226" ca="1">IF(AND(INDIRECT("B"&amp;(T226+70))="X",INDIRECT("B"&amp;(U226+70))="X",INDIRECT("B"&amp;(V226+70))="X"),1,0)+IF(AND(INDIRECT("C"&amp;(T226+70))="X",INDIRECT("C"&amp;(U226+70))="X",INDIRECT("C"&amp;(V226+70))="X"),1,0)+IF(AND(INDIRECT("D"&amp;(T226+70))="X",INDIRECT("D"&amp;(U226+70))="X",INDIRECT("D"&amp;(V226+70))="X"),1,0)+IF(AND(INDIRECT("E"&amp;(T226+70))="X",INDIRECT("E"&amp;(U226+70))="X",INDIRECT("E"&amp;(V226+70))="X"),1,0)+IF(AND(INDIRECT("F"&amp;(T226+70))="X",INDIRECT("F"&amp;(U226+70))="X",INDIRECT("F"&amp;(V226+70))="X"),1,0)+IF(AND(INDIRECT("G"&amp;(T226+70))="X",INDIRECT("G"&amp;(U226+70))="X",INDIRECT("G"&amp;(V226+70))="X"),1,0)+IF(AND(INDIRECT("H"&amp;(T226+70))="X",INDIRECT("H"&amp;(U226+70))="X",INDIRECT("H"&amp;(V226+70))="X"),1,0)+IF(AND(INDIRECT("I"&amp;(T226+70))="X",INDIRECT("I"&amp;(U226+70))="X",INDIRECT("I"&amp;(V226+70))="X"),1,0)+IF(AND(INDIRECT("J"&amp;(T226+70))="X",INDIRECT("J"&amp;(U226+70))="X",INDIRECT("J"&amp;(V226+70))="X"),1,0)+IF(AND(INDIRECT("K"&amp;(T226+70))="X",INDIRECT("K"&amp;(U226+70))="X",INDIRECT("K"&amp;(V226+70))="X"),1,0)+IF(AND(INDIRECT("L"&amp;(T226+70))="X",INDIRECT("L"&amp;(U226+70))="X",INDIRECT("L"&amp;(V226+70))="X"),1,0)+IF(AND(INDIRECT("M"&amp;(T226+70))="X",INDIRECT("M"&amp;(U226+70))="X",INDIRECT("M"&amp;(V226+70))="X"),1,0)+IF(AND(INDIRECT("N"&amp;(T226+70))="X",INDIRECT("N"&amp;(U226+70))="X",INDIRECT("N"&amp;(V226+70))="X"),1,0)+IF(AND(INDIRECT("O"&amp;(T226+70))="X",INDIRECT("O"&amp;(U226+70))="X",INDIRECT("O"&amp;(V226+70))="X"),1,0)+IF(AND(INDIRECT("P"&amp;(T226+70))="X",INDIRECT("P"&amp;(U226+70))="X",INDIRECT("P"&amp;(V226+70))="X"),1,0)+IF(AND(INDIRECT("Q"&amp;(T226+70))="X",INDIRECT("Q"&amp;(U226+70))="X",INDIRECT("Q"&amp;(V226+70))="X"),1,0)</f>
        <v>4</v>
      </c>
    </row>
    <row r="227" spans="20:23" x14ac:dyDescent="0.3">
      <c r="T227">
        <v>3</v>
      </c>
      <c r="U227">
        <v>7</v>
      </c>
      <c r="V227">
        <v>9</v>
      </c>
      <c r="W227" cm="1">
        <f t="array" aca="1" ref="W227" ca="1">IF(AND(INDIRECT("B"&amp;(T227+70))="X",INDIRECT("B"&amp;(U227+70))="X",INDIRECT("B"&amp;(V227+70))="X"),1,0)+IF(AND(INDIRECT("C"&amp;(T227+70))="X",INDIRECT("C"&amp;(U227+70))="X",INDIRECT("C"&amp;(V227+70))="X"),1,0)+IF(AND(INDIRECT("D"&amp;(T227+70))="X",INDIRECT("D"&amp;(U227+70))="X",INDIRECT("D"&amp;(V227+70))="X"),1,0)+IF(AND(INDIRECT("E"&amp;(T227+70))="X",INDIRECT("E"&amp;(U227+70))="X",INDIRECT("E"&amp;(V227+70))="X"),1,0)+IF(AND(INDIRECT("F"&amp;(T227+70))="X",INDIRECT("F"&amp;(U227+70))="X",INDIRECT("F"&amp;(V227+70))="X"),1,0)+IF(AND(INDIRECT("G"&amp;(T227+70))="X",INDIRECT("G"&amp;(U227+70))="X",INDIRECT("G"&amp;(V227+70))="X"),1,0)+IF(AND(INDIRECT("H"&amp;(T227+70))="X",INDIRECT("H"&amp;(U227+70))="X",INDIRECT("H"&amp;(V227+70))="X"),1,0)+IF(AND(INDIRECT("I"&amp;(T227+70))="X",INDIRECT("I"&amp;(U227+70))="X",INDIRECT("I"&amp;(V227+70))="X"),1,0)+IF(AND(INDIRECT("J"&amp;(T227+70))="X",INDIRECT("J"&amp;(U227+70))="X",INDIRECT("J"&amp;(V227+70))="X"),1,0)+IF(AND(INDIRECT("K"&amp;(T227+70))="X",INDIRECT("K"&amp;(U227+70))="X",INDIRECT("K"&amp;(V227+70))="X"),1,0)+IF(AND(INDIRECT("L"&amp;(T227+70))="X",INDIRECT("L"&amp;(U227+70))="X",INDIRECT("L"&amp;(V227+70))="X"),1,0)+IF(AND(INDIRECT("M"&amp;(T227+70))="X",INDIRECT("M"&amp;(U227+70))="X",INDIRECT("M"&amp;(V227+70))="X"),1,0)+IF(AND(INDIRECT("N"&amp;(T227+70))="X",INDIRECT("N"&amp;(U227+70))="X",INDIRECT("N"&amp;(V227+70))="X"),1,0)+IF(AND(INDIRECT("O"&amp;(T227+70))="X",INDIRECT("O"&amp;(U227+70))="X",INDIRECT("O"&amp;(V227+70))="X"),1,0)+IF(AND(INDIRECT("P"&amp;(T227+70))="X",INDIRECT("P"&amp;(U227+70))="X",INDIRECT("P"&amp;(V227+70))="X"),1,0)+IF(AND(INDIRECT("Q"&amp;(T227+70))="X",INDIRECT("Q"&amp;(U227+70))="X",INDIRECT("Q"&amp;(V227+70))="X"),1,0)</f>
        <v>1</v>
      </c>
    </row>
    <row r="228" spans="20:23" x14ac:dyDescent="0.3">
      <c r="T228">
        <v>3</v>
      </c>
      <c r="U228">
        <v>7</v>
      </c>
      <c r="V228">
        <v>10</v>
      </c>
      <c r="W228" cm="1">
        <f t="array" aca="1" ref="W228" ca="1">IF(AND(INDIRECT("B"&amp;(T228+70))="X",INDIRECT("B"&amp;(U228+70))="X",INDIRECT("B"&amp;(V228+70))="X"),1,0)+IF(AND(INDIRECT("C"&amp;(T228+70))="X",INDIRECT("C"&amp;(U228+70))="X",INDIRECT("C"&amp;(V228+70))="X"),1,0)+IF(AND(INDIRECT("D"&amp;(T228+70))="X",INDIRECT("D"&amp;(U228+70))="X",INDIRECT("D"&amp;(V228+70))="X"),1,0)+IF(AND(INDIRECT("E"&amp;(T228+70))="X",INDIRECT("E"&amp;(U228+70))="X",INDIRECT("E"&amp;(V228+70))="X"),1,0)+IF(AND(INDIRECT("F"&amp;(T228+70))="X",INDIRECT("F"&amp;(U228+70))="X",INDIRECT("F"&amp;(V228+70))="X"),1,0)+IF(AND(INDIRECT("G"&amp;(T228+70))="X",INDIRECT("G"&amp;(U228+70))="X",INDIRECT("G"&amp;(V228+70))="X"),1,0)+IF(AND(INDIRECT("H"&amp;(T228+70))="X",INDIRECT("H"&amp;(U228+70))="X",INDIRECT("H"&amp;(V228+70))="X"),1,0)+IF(AND(INDIRECT("I"&amp;(T228+70))="X",INDIRECT("I"&amp;(U228+70))="X",INDIRECT("I"&amp;(V228+70))="X"),1,0)+IF(AND(INDIRECT("J"&amp;(T228+70))="X",INDIRECT("J"&amp;(U228+70))="X",INDIRECT("J"&amp;(V228+70))="X"),1,0)+IF(AND(INDIRECT("K"&amp;(T228+70))="X",INDIRECT("K"&amp;(U228+70))="X",INDIRECT("K"&amp;(V228+70))="X"),1,0)+IF(AND(INDIRECT("L"&amp;(T228+70))="X",INDIRECT("L"&amp;(U228+70))="X",INDIRECT("L"&amp;(V228+70))="X"),1,0)+IF(AND(INDIRECT("M"&amp;(T228+70))="X",INDIRECT("M"&amp;(U228+70))="X",INDIRECT("M"&amp;(V228+70))="X"),1,0)+IF(AND(INDIRECT("N"&amp;(T228+70))="X",INDIRECT("N"&amp;(U228+70))="X",INDIRECT("N"&amp;(V228+70))="X"),1,0)+IF(AND(INDIRECT("O"&amp;(T228+70))="X",INDIRECT("O"&amp;(U228+70))="X",INDIRECT("O"&amp;(V228+70))="X"),1,0)+IF(AND(INDIRECT("P"&amp;(T228+70))="X",INDIRECT("P"&amp;(U228+70))="X",INDIRECT("P"&amp;(V228+70))="X"),1,0)+IF(AND(INDIRECT("Q"&amp;(T228+70))="X",INDIRECT("Q"&amp;(U228+70))="X",INDIRECT("Q"&amp;(V228+70))="X"),1,0)</f>
        <v>0</v>
      </c>
    </row>
    <row r="229" spans="20:23" x14ac:dyDescent="0.3">
      <c r="T229">
        <v>3</v>
      </c>
      <c r="U229">
        <v>7</v>
      </c>
      <c r="V229">
        <v>11</v>
      </c>
      <c r="W229" cm="1">
        <f t="array" aca="1" ref="W229" ca="1">IF(AND(INDIRECT("B"&amp;(T229+70))="X",INDIRECT("B"&amp;(U229+70))="X",INDIRECT("B"&amp;(V229+70))="X"),1,0)+IF(AND(INDIRECT("C"&amp;(T229+70))="X",INDIRECT("C"&amp;(U229+70))="X",INDIRECT("C"&amp;(V229+70))="X"),1,0)+IF(AND(INDIRECT("D"&amp;(T229+70))="X",INDIRECT("D"&amp;(U229+70))="X",INDIRECT("D"&amp;(V229+70))="X"),1,0)+IF(AND(INDIRECT("E"&amp;(T229+70))="X",INDIRECT("E"&amp;(U229+70))="X",INDIRECT("E"&amp;(V229+70))="X"),1,0)+IF(AND(INDIRECT("F"&amp;(T229+70))="X",INDIRECT("F"&amp;(U229+70))="X",INDIRECT("F"&amp;(V229+70))="X"),1,0)+IF(AND(INDIRECT("G"&amp;(T229+70))="X",INDIRECT("G"&amp;(U229+70))="X",INDIRECT("G"&amp;(V229+70))="X"),1,0)+IF(AND(INDIRECT("H"&amp;(T229+70))="X",INDIRECT("H"&amp;(U229+70))="X",INDIRECT("H"&amp;(V229+70))="X"),1,0)+IF(AND(INDIRECT("I"&amp;(T229+70))="X",INDIRECT("I"&amp;(U229+70))="X",INDIRECT("I"&amp;(V229+70))="X"),1,0)+IF(AND(INDIRECT("J"&amp;(T229+70))="X",INDIRECT("J"&amp;(U229+70))="X",INDIRECT("J"&amp;(V229+70))="X"),1,0)+IF(AND(INDIRECT("K"&amp;(T229+70))="X",INDIRECT("K"&amp;(U229+70))="X",INDIRECT("K"&amp;(V229+70))="X"),1,0)+IF(AND(INDIRECT("L"&amp;(T229+70))="X",INDIRECT("L"&amp;(U229+70))="X",INDIRECT("L"&amp;(V229+70))="X"),1,0)+IF(AND(INDIRECT("M"&amp;(T229+70))="X",INDIRECT("M"&amp;(U229+70))="X",INDIRECT("M"&amp;(V229+70))="X"),1,0)+IF(AND(INDIRECT("N"&amp;(T229+70))="X",INDIRECT("N"&amp;(U229+70))="X",INDIRECT("N"&amp;(V229+70))="X"),1,0)+IF(AND(INDIRECT("O"&amp;(T229+70))="X",INDIRECT("O"&amp;(U229+70))="X",INDIRECT("O"&amp;(V229+70))="X"),1,0)+IF(AND(INDIRECT("P"&amp;(T229+70))="X",INDIRECT("P"&amp;(U229+70))="X",INDIRECT("P"&amp;(V229+70))="X"),1,0)+IF(AND(INDIRECT("Q"&amp;(T229+70))="X",INDIRECT("Q"&amp;(U229+70))="X",INDIRECT("Q"&amp;(V229+70))="X"),1,0)</f>
        <v>3</v>
      </c>
    </row>
    <row r="230" spans="20:23" x14ac:dyDescent="0.3">
      <c r="T230">
        <v>3</v>
      </c>
      <c r="U230">
        <v>7</v>
      </c>
      <c r="V230">
        <v>12</v>
      </c>
      <c r="W230" cm="1">
        <f t="array" aca="1" ref="W230" ca="1">IF(AND(INDIRECT("B"&amp;(T230+70))="X",INDIRECT("B"&amp;(U230+70))="X",INDIRECT("B"&amp;(V230+70))="X"),1,0)+IF(AND(INDIRECT("C"&amp;(T230+70))="X",INDIRECT("C"&amp;(U230+70))="X",INDIRECT("C"&amp;(V230+70))="X"),1,0)+IF(AND(INDIRECT("D"&amp;(T230+70))="X",INDIRECT("D"&amp;(U230+70))="X",INDIRECT("D"&amp;(V230+70))="X"),1,0)+IF(AND(INDIRECT("E"&amp;(T230+70))="X",INDIRECT("E"&amp;(U230+70))="X",INDIRECT("E"&amp;(V230+70))="X"),1,0)+IF(AND(INDIRECT("F"&amp;(T230+70))="X",INDIRECT("F"&amp;(U230+70))="X",INDIRECT("F"&amp;(V230+70))="X"),1,0)+IF(AND(INDIRECT("G"&amp;(T230+70))="X",INDIRECT("G"&amp;(U230+70))="X",INDIRECT("G"&amp;(V230+70))="X"),1,0)+IF(AND(INDIRECT("H"&amp;(T230+70))="X",INDIRECT("H"&amp;(U230+70))="X",INDIRECT("H"&amp;(V230+70))="X"),1,0)+IF(AND(INDIRECT("I"&amp;(T230+70))="X",INDIRECT("I"&amp;(U230+70))="X",INDIRECT("I"&amp;(V230+70))="X"),1,0)+IF(AND(INDIRECT("J"&amp;(T230+70))="X",INDIRECT("J"&amp;(U230+70))="X",INDIRECT("J"&amp;(V230+70))="X"),1,0)+IF(AND(INDIRECT("K"&amp;(T230+70))="X",INDIRECT("K"&amp;(U230+70))="X",INDIRECT("K"&amp;(V230+70))="X"),1,0)+IF(AND(INDIRECT("L"&amp;(T230+70))="X",INDIRECT("L"&amp;(U230+70))="X",INDIRECT("L"&amp;(V230+70))="X"),1,0)+IF(AND(INDIRECT("M"&amp;(T230+70))="X",INDIRECT("M"&amp;(U230+70))="X",INDIRECT("M"&amp;(V230+70))="X"),1,0)+IF(AND(INDIRECT("N"&amp;(T230+70))="X",INDIRECT("N"&amp;(U230+70))="X",INDIRECT("N"&amp;(V230+70))="X"),1,0)+IF(AND(INDIRECT("O"&amp;(T230+70))="X",INDIRECT("O"&amp;(U230+70))="X",INDIRECT("O"&amp;(V230+70))="X"),1,0)+IF(AND(INDIRECT("P"&amp;(T230+70))="X",INDIRECT("P"&amp;(U230+70))="X",INDIRECT("P"&amp;(V230+70))="X"),1,0)+IF(AND(INDIRECT("Q"&amp;(T230+70))="X",INDIRECT("Q"&amp;(U230+70))="X",INDIRECT("Q"&amp;(V230+70))="X"),1,0)</f>
        <v>4</v>
      </c>
    </row>
    <row r="231" spans="20:23" x14ac:dyDescent="0.3">
      <c r="T231">
        <v>3</v>
      </c>
      <c r="U231">
        <v>7</v>
      </c>
      <c r="V231">
        <v>13</v>
      </c>
      <c r="W231" cm="1">
        <f t="array" aca="1" ref="W231" ca="1">IF(AND(INDIRECT("B"&amp;(T231+70))="X",INDIRECT("B"&amp;(U231+70))="X",INDIRECT("B"&amp;(V231+70))="X"),1,0)+IF(AND(INDIRECT("C"&amp;(T231+70))="X",INDIRECT("C"&amp;(U231+70))="X",INDIRECT("C"&amp;(V231+70))="X"),1,0)+IF(AND(INDIRECT("D"&amp;(T231+70))="X",INDIRECT("D"&amp;(U231+70))="X",INDIRECT("D"&amp;(V231+70))="X"),1,0)+IF(AND(INDIRECT("E"&amp;(T231+70))="X",INDIRECT("E"&amp;(U231+70))="X",INDIRECT("E"&amp;(V231+70))="X"),1,0)+IF(AND(INDIRECT("F"&amp;(T231+70))="X",INDIRECT("F"&amp;(U231+70))="X",INDIRECT("F"&amp;(V231+70))="X"),1,0)+IF(AND(INDIRECT("G"&amp;(T231+70))="X",INDIRECT("G"&amp;(U231+70))="X",INDIRECT("G"&amp;(V231+70))="X"),1,0)+IF(AND(INDIRECT("H"&amp;(T231+70))="X",INDIRECT("H"&amp;(U231+70))="X",INDIRECT("H"&amp;(V231+70))="X"),1,0)+IF(AND(INDIRECT("I"&amp;(T231+70))="X",INDIRECT("I"&amp;(U231+70))="X",INDIRECT("I"&amp;(V231+70))="X"),1,0)+IF(AND(INDIRECT("J"&amp;(T231+70))="X",INDIRECT("J"&amp;(U231+70))="X",INDIRECT("J"&amp;(V231+70))="X"),1,0)+IF(AND(INDIRECT("K"&amp;(T231+70))="X",INDIRECT("K"&amp;(U231+70))="X",INDIRECT("K"&amp;(V231+70))="X"),1,0)+IF(AND(INDIRECT("L"&amp;(T231+70))="X",INDIRECT("L"&amp;(U231+70))="X",INDIRECT("L"&amp;(V231+70))="X"),1,0)+IF(AND(INDIRECT("M"&amp;(T231+70))="X",INDIRECT("M"&amp;(U231+70))="X",INDIRECT("M"&amp;(V231+70))="X"),1,0)+IF(AND(INDIRECT("N"&amp;(T231+70))="X",INDIRECT("N"&amp;(U231+70))="X",INDIRECT("N"&amp;(V231+70))="X"),1,0)+IF(AND(INDIRECT("O"&amp;(T231+70))="X",INDIRECT("O"&amp;(U231+70))="X",INDIRECT("O"&amp;(V231+70))="X"),1,0)+IF(AND(INDIRECT("P"&amp;(T231+70))="X",INDIRECT("P"&amp;(U231+70))="X",INDIRECT("P"&amp;(V231+70))="X"),1,0)+IF(AND(INDIRECT("Q"&amp;(T231+70))="X",INDIRECT("Q"&amp;(U231+70))="X",INDIRECT("Q"&amp;(V231+70))="X"),1,0)</f>
        <v>4</v>
      </c>
    </row>
    <row r="232" spans="20:23" x14ac:dyDescent="0.3">
      <c r="T232">
        <v>3</v>
      </c>
      <c r="U232">
        <v>7</v>
      </c>
      <c r="V232">
        <v>14</v>
      </c>
      <c r="W232" cm="1">
        <f t="array" aca="1" ref="W232" ca="1">IF(AND(INDIRECT("B"&amp;(T232+70))="X",INDIRECT("B"&amp;(U232+70))="X",INDIRECT("B"&amp;(V232+70))="X"),1,0)+IF(AND(INDIRECT("C"&amp;(T232+70))="X",INDIRECT("C"&amp;(U232+70))="X",INDIRECT("C"&amp;(V232+70))="X"),1,0)+IF(AND(INDIRECT("D"&amp;(T232+70))="X",INDIRECT("D"&amp;(U232+70))="X",INDIRECT("D"&amp;(V232+70))="X"),1,0)+IF(AND(INDIRECT("E"&amp;(T232+70))="X",INDIRECT("E"&amp;(U232+70))="X",INDIRECT("E"&amp;(V232+70))="X"),1,0)+IF(AND(INDIRECT("F"&amp;(T232+70))="X",INDIRECT("F"&amp;(U232+70))="X",INDIRECT("F"&amp;(V232+70))="X"),1,0)+IF(AND(INDIRECT("G"&amp;(T232+70))="X",INDIRECT("G"&amp;(U232+70))="X",INDIRECT("G"&amp;(V232+70))="X"),1,0)+IF(AND(INDIRECT("H"&amp;(T232+70))="X",INDIRECT("H"&amp;(U232+70))="X",INDIRECT("H"&amp;(V232+70))="X"),1,0)+IF(AND(INDIRECT("I"&amp;(T232+70))="X",INDIRECT("I"&amp;(U232+70))="X",INDIRECT("I"&amp;(V232+70))="X"),1,0)+IF(AND(INDIRECT("J"&amp;(T232+70))="X",INDIRECT("J"&amp;(U232+70))="X",INDIRECT("J"&amp;(V232+70))="X"),1,0)+IF(AND(INDIRECT("K"&amp;(T232+70))="X",INDIRECT("K"&amp;(U232+70))="X",INDIRECT("K"&amp;(V232+70))="X"),1,0)+IF(AND(INDIRECT("L"&amp;(T232+70))="X",INDIRECT("L"&amp;(U232+70))="X",INDIRECT("L"&amp;(V232+70))="X"),1,0)+IF(AND(INDIRECT("M"&amp;(T232+70))="X",INDIRECT("M"&amp;(U232+70))="X",INDIRECT("M"&amp;(V232+70))="X"),1,0)+IF(AND(INDIRECT("N"&amp;(T232+70))="X",INDIRECT("N"&amp;(U232+70))="X",INDIRECT("N"&amp;(V232+70))="X"),1,0)+IF(AND(INDIRECT("O"&amp;(T232+70))="X",INDIRECT("O"&amp;(U232+70))="X",INDIRECT("O"&amp;(V232+70))="X"),1,0)+IF(AND(INDIRECT("P"&amp;(T232+70))="X",INDIRECT("P"&amp;(U232+70))="X",INDIRECT("P"&amp;(V232+70))="X"),1,0)+IF(AND(INDIRECT("Q"&amp;(T232+70))="X",INDIRECT("Q"&amp;(U232+70))="X",INDIRECT("Q"&amp;(V232+70))="X"),1,0)</f>
        <v>1</v>
      </c>
    </row>
    <row r="233" spans="20:23" x14ac:dyDescent="0.3">
      <c r="T233">
        <v>3</v>
      </c>
      <c r="U233">
        <v>8</v>
      </c>
      <c r="V233">
        <v>9</v>
      </c>
      <c r="W233" cm="1">
        <f t="array" aca="1" ref="W233" ca="1">IF(AND(INDIRECT("B"&amp;(T233+70))="X",INDIRECT("B"&amp;(U233+70))="X",INDIRECT("B"&amp;(V233+70))="X"),1,0)+IF(AND(INDIRECT("C"&amp;(T233+70))="X",INDIRECT("C"&amp;(U233+70))="X",INDIRECT("C"&amp;(V233+70))="X"),1,0)+IF(AND(INDIRECT("D"&amp;(T233+70))="X",INDIRECT("D"&amp;(U233+70))="X",INDIRECT("D"&amp;(V233+70))="X"),1,0)+IF(AND(INDIRECT("E"&amp;(T233+70))="X",INDIRECT("E"&amp;(U233+70))="X",INDIRECT("E"&amp;(V233+70))="X"),1,0)+IF(AND(INDIRECT("F"&amp;(T233+70))="X",INDIRECT("F"&amp;(U233+70))="X",INDIRECT("F"&amp;(V233+70))="X"),1,0)+IF(AND(INDIRECT("G"&amp;(T233+70))="X",INDIRECT("G"&amp;(U233+70))="X",INDIRECT("G"&amp;(V233+70))="X"),1,0)+IF(AND(INDIRECT("H"&amp;(T233+70))="X",INDIRECT("H"&amp;(U233+70))="X",INDIRECT("H"&amp;(V233+70))="X"),1,0)+IF(AND(INDIRECT("I"&amp;(T233+70))="X",INDIRECT("I"&amp;(U233+70))="X",INDIRECT("I"&amp;(V233+70))="X"),1,0)+IF(AND(INDIRECT("J"&amp;(T233+70))="X",INDIRECT("J"&amp;(U233+70))="X",INDIRECT("J"&amp;(V233+70))="X"),1,0)+IF(AND(INDIRECT("K"&amp;(T233+70))="X",INDIRECT("K"&amp;(U233+70))="X",INDIRECT("K"&amp;(V233+70))="X"),1,0)+IF(AND(INDIRECT("L"&amp;(T233+70))="X",INDIRECT("L"&amp;(U233+70))="X",INDIRECT("L"&amp;(V233+70))="X"),1,0)+IF(AND(INDIRECT("M"&amp;(T233+70))="X",INDIRECT("M"&amp;(U233+70))="X",INDIRECT("M"&amp;(V233+70))="X"),1,0)+IF(AND(INDIRECT("N"&amp;(T233+70))="X",INDIRECT("N"&amp;(U233+70))="X",INDIRECT("N"&amp;(V233+70))="X"),1,0)+IF(AND(INDIRECT("O"&amp;(T233+70))="X",INDIRECT("O"&amp;(U233+70))="X",INDIRECT("O"&amp;(V233+70))="X"),1,0)+IF(AND(INDIRECT("P"&amp;(T233+70))="X",INDIRECT("P"&amp;(U233+70))="X",INDIRECT("P"&amp;(V233+70))="X"),1,0)+IF(AND(INDIRECT("Q"&amp;(T233+70))="X",INDIRECT("Q"&amp;(U233+70))="X",INDIRECT("Q"&amp;(V233+70))="X"),1,0)</f>
        <v>1</v>
      </c>
    </row>
    <row r="234" spans="20:23" x14ac:dyDescent="0.3">
      <c r="T234">
        <v>3</v>
      </c>
      <c r="U234">
        <v>8</v>
      </c>
      <c r="V234">
        <v>10</v>
      </c>
      <c r="W234" cm="1">
        <f t="array" aca="1" ref="W234" ca="1">IF(AND(INDIRECT("B"&amp;(T234+70))="X",INDIRECT("B"&amp;(U234+70))="X",INDIRECT("B"&amp;(V234+70))="X"),1,0)+IF(AND(INDIRECT("C"&amp;(T234+70))="X",INDIRECT("C"&amp;(U234+70))="X",INDIRECT("C"&amp;(V234+70))="X"),1,0)+IF(AND(INDIRECT("D"&amp;(T234+70))="X",INDIRECT("D"&amp;(U234+70))="X",INDIRECT("D"&amp;(V234+70))="X"),1,0)+IF(AND(INDIRECT("E"&amp;(T234+70))="X",INDIRECT("E"&amp;(U234+70))="X",INDIRECT("E"&amp;(V234+70))="X"),1,0)+IF(AND(INDIRECT("F"&amp;(T234+70))="X",INDIRECT("F"&amp;(U234+70))="X",INDIRECT("F"&amp;(V234+70))="X"),1,0)+IF(AND(INDIRECT("G"&amp;(T234+70))="X",INDIRECT("G"&amp;(U234+70))="X",INDIRECT("G"&amp;(V234+70))="X"),1,0)+IF(AND(INDIRECT("H"&amp;(T234+70))="X",INDIRECT("H"&amp;(U234+70))="X",INDIRECT("H"&amp;(V234+70))="X"),1,0)+IF(AND(INDIRECT("I"&amp;(T234+70))="X",INDIRECT("I"&amp;(U234+70))="X",INDIRECT("I"&amp;(V234+70))="X"),1,0)+IF(AND(INDIRECT("J"&amp;(T234+70))="X",INDIRECT("J"&amp;(U234+70))="X",INDIRECT("J"&amp;(V234+70))="X"),1,0)+IF(AND(INDIRECT("K"&amp;(T234+70))="X",INDIRECT("K"&amp;(U234+70))="X",INDIRECT("K"&amp;(V234+70))="X"),1,0)+IF(AND(INDIRECT("L"&amp;(T234+70))="X",INDIRECT("L"&amp;(U234+70))="X",INDIRECT("L"&amp;(V234+70))="X"),1,0)+IF(AND(INDIRECT("M"&amp;(T234+70))="X",INDIRECT("M"&amp;(U234+70))="X",INDIRECT("M"&amp;(V234+70))="X"),1,0)+IF(AND(INDIRECT("N"&amp;(T234+70))="X",INDIRECT("N"&amp;(U234+70))="X",INDIRECT("N"&amp;(V234+70))="X"),1,0)+IF(AND(INDIRECT("O"&amp;(T234+70))="X",INDIRECT("O"&amp;(U234+70))="X",INDIRECT("O"&amp;(V234+70))="X"),1,0)+IF(AND(INDIRECT("P"&amp;(T234+70))="X",INDIRECT("P"&amp;(U234+70))="X",INDIRECT("P"&amp;(V234+70))="X"),1,0)+IF(AND(INDIRECT("Q"&amp;(T234+70))="X",INDIRECT("Q"&amp;(U234+70))="X",INDIRECT("Q"&amp;(V234+70))="X"),1,0)</f>
        <v>1</v>
      </c>
    </row>
    <row r="235" spans="20:23" x14ac:dyDescent="0.3">
      <c r="T235">
        <v>3</v>
      </c>
      <c r="U235">
        <v>8</v>
      </c>
      <c r="V235">
        <v>11</v>
      </c>
      <c r="W235" cm="1">
        <f t="array" aca="1" ref="W235" ca="1">IF(AND(INDIRECT("B"&amp;(T235+70))="X",INDIRECT("B"&amp;(U235+70))="X",INDIRECT("B"&amp;(V235+70))="X"),1,0)+IF(AND(INDIRECT("C"&amp;(T235+70))="X",INDIRECT("C"&amp;(U235+70))="X",INDIRECT("C"&amp;(V235+70))="X"),1,0)+IF(AND(INDIRECT("D"&amp;(T235+70))="X",INDIRECT("D"&amp;(U235+70))="X",INDIRECT("D"&amp;(V235+70))="X"),1,0)+IF(AND(INDIRECT("E"&amp;(T235+70))="X",INDIRECT("E"&amp;(U235+70))="X",INDIRECT("E"&amp;(V235+70))="X"),1,0)+IF(AND(INDIRECT("F"&amp;(T235+70))="X",INDIRECT("F"&amp;(U235+70))="X",INDIRECT("F"&amp;(V235+70))="X"),1,0)+IF(AND(INDIRECT("G"&amp;(T235+70))="X",INDIRECT("G"&amp;(U235+70))="X",INDIRECT("G"&amp;(V235+70))="X"),1,0)+IF(AND(INDIRECT("H"&amp;(T235+70))="X",INDIRECT("H"&amp;(U235+70))="X",INDIRECT("H"&amp;(V235+70))="X"),1,0)+IF(AND(INDIRECT("I"&amp;(T235+70))="X",INDIRECT("I"&amp;(U235+70))="X",INDIRECT("I"&amp;(V235+70))="X"),1,0)+IF(AND(INDIRECT("J"&amp;(T235+70))="X",INDIRECT("J"&amp;(U235+70))="X",INDIRECT("J"&amp;(V235+70))="X"),1,0)+IF(AND(INDIRECT("K"&amp;(T235+70))="X",INDIRECT("K"&amp;(U235+70))="X",INDIRECT("K"&amp;(V235+70))="X"),1,0)+IF(AND(INDIRECT("L"&amp;(T235+70))="X",INDIRECT("L"&amp;(U235+70))="X",INDIRECT("L"&amp;(V235+70))="X"),1,0)+IF(AND(INDIRECT("M"&amp;(T235+70))="X",INDIRECT("M"&amp;(U235+70))="X",INDIRECT("M"&amp;(V235+70))="X"),1,0)+IF(AND(INDIRECT("N"&amp;(T235+70))="X",INDIRECT("N"&amp;(U235+70))="X",INDIRECT("N"&amp;(V235+70))="X"),1,0)+IF(AND(INDIRECT("O"&amp;(T235+70))="X",INDIRECT("O"&amp;(U235+70))="X",INDIRECT("O"&amp;(V235+70))="X"),1,0)+IF(AND(INDIRECT("P"&amp;(T235+70))="X",INDIRECT("P"&amp;(U235+70))="X",INDIRECT("P"&amp;(V235+70))="X"),1,0)+IF(AND(INDIRECT("Q"&amp;(T235+70))="X",INDIRECT("Q"&amp;(U235+70))="X",INDIRECT("Q"&amp;(V235+70))="X"),1,0)</f>
        <v>1</v>
      </c>
    </row>
    <row r="236" spans="20:23" x14ac:dyDescent="0.3">
      <c r="T236">
        <v>3</v>
      </c>
      <c r="U236">
        <v>8</v>
      </c>
      <c r="V236">
        <v>12</v>
      </c>
      <c r="W236" cm="1">
        <f t="array" aca="1" ref="W236" ca="1">IF(AND(INDIRECT("B"&amp;(T236+70))="X",INDIRECT("B"&amp;(U236+70))="X",INDIRECT("B"&amp;(V236+70))="X"),1,0)+IF(AND(INDIRECT("C"&amp;(T236+70))="X",INDIRECT("C"&amp;(U236+70))="X",INDIRECT("C"&amp;(V236+70))="X"),1,0)+IF(AND(INDIRECT("D"&amp;(T236+70))="X",INDIRECT("D"&amp;(U236+70))="X",INDIRECT("D"&amp;(V236+70))="X"),1,0)+IF(AND(INDIRECT("E"&amp;(T236+70))="X",INDIRECT("E"&amp;(U236+70))="X",INDIRECT("E"&amp;(V236+70))="X"),1,0)+IF(AND(INDIRECT("F"&amp;(T236+70))="X",INDIRECT("F"&amp;(U236+70))="X",INDIRECT("F"&amp;(V236+70))="X"),1,0)+IF(AND(INDIRECT("G"&amp;(T236+70))="X",INDIRECT("G"&amp;(U236+70))="X",INDIRECT("G"&amp;(V236+70))="X"),1,0)+IF(AND(INDIRECT("H"&amp;(T236+70))="X",INDIRECT("H"&amp;(U236+70))="X",INDIRECT("H"&amp;(V236+70))="X"),1,0)+IF(AND(INDIRECT("I"&amp;(T236+70))="X",INDIRECT("I"&amp;(U236+70))="X",INDIRECT("I"&amp;(V236+70))="X"),1,0)+IF(AND(INDIRECT("J"&amp;(T236+70))="X",INDIRECT("J"&amp;(U236+70))="X",INDIRECT("J"&amp;(V236+70))="X"),1,0)+IF(AND(INDIRECT("K"&amp;(T236+70))="X",INDIRECT("K"&amp;(U236+70))="X",INDIRECT("K"&amp;(V236+70))="X"),1,0)+IF(AND(INDIRECT("L"&amp;(T236+70))="X",INDIRECT("L"&amp;(U236+70))="X",INDIRECT("L"&amp;(V236+70))="X"),1,0)+IF(AND(INDIRECT("M"&amp;(T236+70))="X",INDIRECT("M"&amp;(U236+70))="X",INDIRECT("M"&amp;(V236+70))="X"),1,0)+IF(AND(INDIRECT("N"&amp;(T236+70))="X",INDIRECT("N"&amp;(U236+70))="X",INDIRECT("N"&amp;(V236+70))="X"),1,0)+IF(AND(INDIRECT("O"&amp;(T236+70))="X",INDIRECT("O"&amp;(U236+70))="X",INDIRECT("O"&amp;(V236+70))="X"),1,0)+IF(AND(INDIRECT("P"&amp;(T236+70))="X",INDIRECT("P"&amp;(U236+70))="X",INDIRECT("P"&amp;(V236+70))="X"),1,0)+IF(AND(INDIRECT("Q"&amp;(T236+70))="X",INDIRECT("Q"&amp;(U236+70))="X",INDIRECT("Q"&amp;(V236+70))="X"),1,0)</f>
        <v>5</v>
      </c>
    </row>
    <row r="237" spans="20:23" x14ac:dyDescent="0.3">
      <c r="T237">
        <v>3</v>
      </c>
      <c r="U237">
        <v>8</v>
      </c>
      <c r="V237">
        <v>13</v>
      </c>
      <c r="W237" cm="1">
        <f t="array" aca="1" ref="W237" ca="1">IF(AND(INDIRECT("B"&amp;(T237+70))="X",INDIRECT("B"&amp;(U237+70))="X",INDIRECT("B"&amp;(V237+70))="X"),1,0)+IF(AND(INDIRECT("C"&amp;(T237+70))="X",INDIRECT("C"&amp;(U237+70))="X",INDIRECT("C"&amp;(V237+70))="X"),1,0)+IF(AND(INDIRECT("D"&amp;(T237+70))="X",INDIRECT("D"&amp;(U237+70))="X",INDIRECT("D"&amp;(V237+70))="X"),1,0)+IF(AND(INDIRECT("E"&amp;(T237+70))="X",INDIRECT("E"&amp;(U237+70))="X",INDIRECT("E"&amp;(V237+70))="X"),1,0)+IF(AND(INDIRECT("F"&amp;(T237+70))="X",INDIRECT("F"&amp;(U237+70))="X",INDIRECT("F"&amp;(V237+70))="X"),1,0)+IF(AND(INDIRECT("G"&amp;(T237+70))="X",INDIRECT("G"&amp;(U237+70))="X",INDIRECT("G"&amp;(V237+70))="X"),1,0)+IF(AND(INDIRECT("H"&amp;(T237+70))="X",INDIRECT("H"&amp;(U237+70))="X",INDIRECT("H"&amp;(V237+70))="X"),1,0)+IF(AND(INDIRECT("I"&amp;(T237+70))="X",INDIRECT("I"&amp;(U237+70))="X",INDIRECT("I"&amp;(V237+70))="X"),1,0)+IF(AND(INDIRECT("J"&amp;(T237+70))="X",INDIRECT("J"&amp;(U237+70))="X",INDIRECT("J"&amp;(V237+70))="X"),1,0)+IF(AND(INDIRECT("K"&amp;(T237+70))="X",INDIRECT("K"&amp;(U237+70))="X",INDIRECT("K"&amp;(V237+70))="X"),1,0)+IF(AND(INDIRECT("L"&amp;(T237+70))="X",INDIRECT("L"&amp;(U237+70))="X",INDIRECT("L"&amp;(V237+70))="X"),1,0)+IF(AND(INDIRECT("M"&amp;(T237+70))="X",INDIRECT("M"&amp;(U237+70))="X",INDIRECT("M"&amp;(V237+70))="X"),1,0)+IF(AND(INDIRECT("N"&amp;(T237+70))="X",INDIRECT("N"&amp;(U237+70))="X",INDIRECT("N"&amp;(V237+70))="X"),1,0)+IF(AND(INDIRECT("O"&amp;(T237+70))="X",INDIRECT("O"&amp;(U237+70))="X",INDIRECT("O"&amp;(V237+70))="X"),1,0)+IF(AND(INDIRECT("P"&amp;(T237+70))="X",INDIRECT("P"&amp;(U237+70))="X",INDIRECT("P"&amp;(V237+70))="X"),1,0)+IF(AND(INDIRECT("Q"&amp;(T237+70))="X",INDIRECT("Q"&amp;(U237+70))="X",INDIRECT("Q"&amp;(V237+70))="X"),1,0)</f>
        <v>4</v>
      </c>
    </row>
    <row r="238" spans="20:23" x14ac:dyDescent="0.3">
      <c r="T238">
        <v>3</v>
      </c>
      <c r="U238">
        <v>8</v>
      </c>
      <c r="V238">
        <v>14</v>
      </c>
      <c r="W238" cm="1">
        <f t="array" aca="1" ref="W238" ca="1">IF(AND(INDIRECT("B"&amp;(T238+70))="X",INDIRECT("B"&amp;(U238+70))="X",INDIRECT("B"&amp;(V238+70))="X"),1,0)+IF(AND(INDIRECT("C"&amp;(T238+70))="X",INDIRECT("C"&amp;(U238+70))="X",INDIRECT("C"&amp;(V238+70))="X"),1,0)+IF(AND(INDIRECT("D"&amp;(T238+70))="X",INDIRECT("D"&amp;(U238+70))="X",INDIRECT("D"&amp;(V238+70))="X"),1,0)+IF(AND(INDIRECT("E"&amp;(T238+70))="X",INDIRECT("E"&amp;(U238+70))="X",INDIRECT("E"&amp;(V238+70))="X"),1,0)+IF(AND(INDIRECT("F"&amp;(T238+70))="X",INDIRECT("F"&amp;(U238+70))="X",INDIRECT("F"&amp;(V238+70))="X"),1,0)+IF(AND(INDIRECT("G"&amp;(T238+70))="X",INDIRECT("G"&amp;(U238+70))="X",INDIRECT("G"&amp;(V238+70))="X"),1,0)+IF(AND(INDIRECT("H"&amp;(T238+70))="X",INDIRECT("H"&amp;(U238+70))="X",INDIRECT("H"&amp;(V238+70))="X"),1,0)+IF(AND(INDIRECT("I"&amp;(T238+70))="X",INDIRECT("I"&amp;(U238+70))="X",INDIRECT("I"&amp;(V238+70))="X"),1,0)+IF(AND(INDIRECT("J"&amp;(T238+70))="X",INDIRECT("J"&amp;(U238+70))="X",INDIRECT("J"&amp;(V238+70))="X"),1,0)+IF(AND(INDIRECT("K"&amp;(T238+70))="X",INDIRECT("K"&amp;(U238+70))="X",INDIRECT("K"&amp;(V238+70))="X"),1,0)+IF(AND(INDIRECT("L"&amp;(T238+70))="X",INDIRECT("L"&amp;(U238+70))="X",INDIRECT("L"&amp;(V238+70))="X"),1,0)+IF(AND(INDIRECT("M"&amp;(T238+70))="X",INDIRECT("M"&amp;(U238+70))="X",INDIRECT("M"&amp;(V238+70))="X"),1,0)+IF(AND(INDIRECT("N"&amp;(T238+70))="X",INDIRECT("N"&amp;(U238+70))="X",INDIRECT("N"&amp;(V238+70))="X"),1,0)+IF(AND(INDIRECT("O"&amp;(T238+70))="X",INDIRECT("O"&amp;(U238+70))="X",INDIRECT("O"&amp;(V238+70))="X"),1,0)+IF(AND(INDIRECT("P"&amp;(T238+70))="X",INDIRECT("P"&amp;(U238+70))="X",INDIRECT("P"&amp;(V238+70))="X"),1,0)+IF(AND(INDIRECT("Q"&amp;(T238+70))="X",INDIRECT("Q"&amp;(U238+70))="X",INDIRECT("Q"&amp;(V238+70))="X"),1,0)</f>
        <v>2</v>
      </c>
    </row>
    <row r="239" spans="20:23" x14ac:dyDescent="0.3">
      <c r="T239">
        <v>3</v>
      </c>
      <c r="U239">
        <v>9</v>
      </c>
      <c r="V239">
        <v>10</v>
      </c>
      <c r="W239" cm="1">
        <f t="array" aca="1" ref="W239" ca="1">IF(AND(INDIRECT("B"&amp;(T239+70))="X",INDIRECT("B"&amp;(U239+70))="X",INDIRECT("B"&amp;(V239+70))="X"),1,0)+IF(AND(INDIRECT("C"&amp;(T239+70))="X",INDIRECT("C"&amp;(U239+70))="X",INDIRECT("C"&amp;(V239+70))="X"),1,0)+IF(AND(INDIRECT("D"&amp;(T239+70))="X",INDIRECT("D"&amp;(U239+70))="X",INDIRECT("D"&amp;(V239+70))="X"),1,0)+IF(AND(INDIRECT("E"&amp;(T239+70))="X",INDIRECT("E"&amp;(U239+70))="X",INDIRECT("E"&amp;(V239+70))="X"),1,0)+IF(AND(INDIRECT("F"&amp;(T239+70))="X",INDIRECT("F"&amp;(U239+70))="X",INDIRECT("F"&amp;(V239+70))="X"),1,0)+IF(AND(INDIRECT("G"&amp;(T239+70))="X",INDIRECT("G"&amp;(U239+70))="X",INDIRECT("G"&amp;(V239+70))="X"),1,0)+IF(AND(INDIRECT("H"&amp;(T239+70))="X",INDIRECT("H"&amp;(U239+70))="X",INDIRECT("H"&amp;(V239+70))="X"),1,0)+IF(AND(INDIRECT("I"&amp;(T239+70))="X",INDIRECT("I"&amp;(U239+70))="X",INDIRECT("I"&amp;(V239+70))="X"),1,0)+IF(AND(INDIRECT("J"&amp;(T239+70))="X",INDIRECT("J"&amp;(U239+70))="X",INDIRECT("J"&amp;(V239+70))="X"),1,0)+IF(AND(INDIRECT("K"&amp;(T239+70))="X",INDIRECT("K"&amp;(U239+70))="X",INDIRECT("K"&amp;(V239+70))="X"),1,0)+IF(AND(INDIRECT("L"&amp;(T239+70))="X",INDIRECT("L"&amp;(U239+70))="X",INDIRECT("L"&amp;(V239+70))="X"),1,0)+IF(AND(INDIRECT("M"&amp;(T239+70))="X",INDIRECT("M"&amp;(U239+70))="X",INDIRECT("M"&amp;(V239+70))="X"),1,0)+IF(AND(INDIRECT("N"&amp;(T239+70))="X",INDIRECT("N"&amp;(U239+70))="X",INDIRECT("N"&amp;(V239+70))="X"),1,0)+IF(AND(INDIRECT("O"&amp;(T239+70))="X",INDIRECT("O"&amp;(U239+70))="X",INDIRECT("O"&amp;(V239+70))="X"),1,0)+IF(AND(INDIRECT("P"&amp;(T239+70))="X",INDIRECT("P"&amp;(U239+70))="X",INDIRECT("P"&amp;(V239+70))="X"),1,0)+IF(AND(INDIRECT("Q"&amp;(T239+70))="X",INDIRECT("Q"&amp;(U239+70))="X",INDIRECT("Q"&amp;(V239+70))="X"),1,0)</f>
        <v>1</v>
      </c>
    </row>
    <row r="240" spans="20:23" x14ac:dyDescent="0.3">
      <c r="T240">
        <v>3</v>
      </c>
      <c r="U240">
        <v>9</v>
      </c>
      <c r="V240">
        <v>11</v>
      </c>
      <c r="W240" cm="1">
        <f t="array" aca="1" ref="W240" ca="1">IF(AND(INDIRECT("B"&amp;(T240+70))="X",INDIRECT("B"&amp;(U240+70))="X",INDIRECT("B"&amp;(V240+70))="X"),1,0)+IF(AND(INDIRECT("C"&amp;(T240+70))="X",INDIRECT("C"&amp;(U240+70))="X",INDIRECT("C"&amp;(V240+70))="X"),1,0)+IF(AND(INDIRECT("D"&amp;(T240+70))="X",INDIRECT("D"&amp;(U240+70))="X",INDIRECT("D"&amp;(V240+70))="X"),1,0)+IF(AND(INDIRECT("E"&amp;(T240+70))="X",INDIRECT("E"&amp;(U240+70))="X",INDIRECT("E"&amp;(V240+70))="X"),1,0)+IF(AND(INDIRECT("F"&amp;(T240+70))="X",INDIRECT("F"&amp;(U240+70))="X",INDIRECT("F"&amp;(V240+70))="X"),1,0)+IF(AND(INDIRECT("G"&amp;(T240+70))="X",INDIRECT("G"&amp;(U240+70))="X",INDIRECT("G"&amp;(V240+70))="X"),1,0)+IF(AND(INDIRECT("H"&amp;(T240+70))="X",INDIRECT("H"&amp;(U240+70))="X",INDIRECT("H"&amp;(V240+70))="X"),1,0)+IF(AND(INDIRECT("I"&amp;(T240+70))="X",INDIRECT("I"&amp;(U240+70))="X",INDIRECT("I"&amp;(V240+70))="X"),1,0)+IF(AND(INDIRECT("J"&amp;(T240+70))="X",INDIRECT("J"&amp;(U240+70))="X",INDIRECT("J"&amp;(V240+70))="X"),1,0)+IF(AND(INDIRECT("K"&amp;(T240+70))="X",INDIRECT("K"&amp;(U240+70))="X",INDIRECT("K"&amp;(V240+70))="X"),1,0)+IF(AND(INDIRECT("L"&amp;(T240+70))="X",INDIRECT("L"&amp;(U240+70))="X",INDIRECT("L"&amp;(V240+70))="X"),1,0)+IF(AND(INDIRECT("M"&amp;(T240+70))="X",INDIRECT("M"&amp;(U240+70))="X",INDIRECT("M"&amp;(V240+70))="X"),1,0)+IF(AND(INDIRECT("N"&amp;(T240+70))="X",INDIRECT("N"&amp;(U240+70))="X",INDIRECT("N"&amp;(V240+70))="X"),1,0)+IF(AND(INDIRECT("O"&amp;(T240+70))="X",INDIRECT("O"&amp;(U240+70))="X",INDIRECT("O"&amp;(V240+70))="X"),1,0)+IF(AND(INDIRECT("P"&amp;(T240+70))="X",INDIRECT("P"&amp;(U240+70))="X",INDIRECT("P"&amp;(V240+70))="X"),1,0)+IF(AND(INDIRECT("Q"&amp;(T240+70))="X",INDIRECT("Q"&amp;(U240+70))="X",INDIRECT("Q"&amp;(V240+70))="X"),1,0)</f>
        <v>1</v>
      </c>
    </row>
    <row r="241" spans="20:23" x14ac:dyDescent="0.3">
      <c r="T241">
        <v>3</v>
      </c>
      <c r="U241">
        <v>9</v>
      </c>
      <c r="V241">
        <v>12</v>
      </c>
      <c r="W241" cm="1">
        <f t="array" aca="1" ref="W241" ca="1">IF(AND(INDIRECT("B"&amp;(T241+70))="X",INDIRECT("B"&amp;(U241+70))="X",INDIRECT("B"&amp;(V241+70))="X"),1,0)+IF(AND(INDIRECT("C"&amp;(T241+70))="X",INDIRECT("C"&amp;(U241+70))="X",INDIRECT("C"&amp;(V241+70))="X"),1,0)+IF(AND(INDIRECT("D"&amp;(T241+70))="X",INDIRECT("D"&amp;(U241+70))="X",INDIRECT("D"&amp;(V241+70))="X"),1,0)+IF(AND(INDIRECT("E"&amp;(T241+70))="X",INDIRECT("E"&amp;(U241+70))="X",INDIRECT("E"&amp;(V241+70))="X"),1,0)+IF(AND(INDIRECT("F"&amp;(T241+70))="X",INDIRECT("F"&amp;(U241+70))="X",INDIRECT("F"&amp;(V241+70))="X"),1,0)+IF(AND(INDIRECT("G"&amp;(T241+70))="X",INDIRECT("G"&amp;(U241+70))="X",INDIRECT("G"&amp;(V241+70))="X"),1,0)+IF(AND(INDIRECT("H"&amp;(T241+70))="X",INDIRECT("H"&amp;(U241+70))="X",INDIRECT("H"&amp;(V241+70))="X"),1,0)+IF(AND(INDIRECT("I"&amp;(T241+70))="X",INDIRECT("I"&amp;(U241+70))="X",INDIRECT("I"&amp;(V241+70))="X"),1,0)+IF(AND(INDIRECT("J"&amp;(T241+70))="X",INDIRECT("J"&amp;(U241+70))="X",INDIRECT("J"&amp;(V241+70))="X"),1,0)+IF(AND(INDIRECT("K"&amp;(T241+70))="X",INDIRECT("K"&amp;(U241+70))="X",INDIRECT("K"&amp;(V241+70))="X"),1,0)+IF(AND(INDIRECT("L"&amp;(T241+70))="X",INDIRECT("L"&amp;(U241+70))="X",INDIRECT("L"&amp;(V241+70))="X"),1,0)+IF(AND(INDIRECT("M"&amp;(T241+70))="X",INDIRECT("M"&amp;(U241+70))="X",INDIRECT("M"&amp;(V241+70))="X"),1,0)+IF(AND(INDIRECT("N"&amp;(T241+70))="X",INDIRECT("N"&amp;(U241+70))="X",INDIRECT("N"&amp;(V241+70))="X"),1,0)+IF(AND(INDIRECT("O"&amp;(T241+70))="X",INDIRECT("O"&amp;(U241+70))="X",INDIRECT("O"&amp;(V241+70))="X"),1,0)+IF(AND(INDIRECT("P"&amp;(T241+70))="X",INDIRECT("P"&amp;(U241+70))="X",INDIRECT("P"&amp;(V241+70))="X"),1,0)+IF(AND(INDIRECT("Q"&amp;(T241+70))="X",INDIRECT("Q"&amp;(U241+70))="X",INDIRECT("Q"&amp;(V241+70))="X"),1,0)</f>
        <v>2</v>
      </c>
    </row>
    <row r="242" spans="20:23" x14ac:dyDescent="0.3">
      <c r="T242">
        <v>3</v>
      </c>
      <c r="U242">
        <v>9</v>
      </c>
      <c r="V242">
        <v>13</v>
      </c>
      <c r="W242" cm="1">
        <f t="array" aca="1" ref="W242" ca="1">IF(AND(INDIRECT("B"&amp;(T242+70))="X",INDIRECT("B"&amp;(U242+70))="X",INDIRECT("B"&amp;(V242+70))="X"),1,0)+IF(AND(INDIRECT("C"&amp;(T242+70))="X",INDIRECT("C"&amp;(U242+70))="X",INDIRECT("C"&amp;(V242+70))="X"),1,0)+IF(AND(INDIRECT("D"&amp;(T242+70))="X",INDIRECT("D"&amp;(U242+70))="X",INDIRECT("D"&amp;(V242+70))="X"),1,0)+IF(AND(INDIRECT("E"&amp;(T242+70))="X",INDIRECT("E"&amp;(U242+70))="X",INDIRECT("E"&amp;(V242+70))="X"),1,0)+IF(AND(INDIRECT("F"&amp;(T242+70))="X",INDIRECT("F"&amp;(U242+70))="X",INDIRECT("F"&amp;(V242+70))="X"),1,0)+IF(AND(INDIRECT("G"&amp;(T242+70))="X",INDIRECT("G"&amp;(U242+70))="X",INDIRECT("G"&amp;(V242+70))="X"),1,0)+IF(AND(INDIRECT("H"&amp;(T242+70))="X",INDIRECT("H"&amp;(U242+70))="X",INDIRECT("H"&amp;(V242+70))="X"),1,0)+IF(AND(INDIRECT("I"&amp;(T242+70))="X",INDIRECT("I"&amp;(U242+70))="X",INDIRECT("I"&amp;(V242+70))="X"),1,0)+IF(AND(INDIRECT("J"&amp;(T242+70))="X",INDIRECT("J"&amp;(U242+70))="X",INDIRECT("J"&amp;(V242+70))="X"),1,0)+IF(AND(INDIRECT("K"&amp;(T242+70))="X",INDIRECT("K"&amp;(U242+70))="X",INDIRECT("K"&amp;(V242+70))="X"),1,0)+IF(AND(INDIRECT("L"&amp;(T242+70))="X",INDIRECT("L"&amp;(U242+70))="X",INDIRECT("L"&amp;(V242+70))="X"),1,0)+IF(AND(INDIRECT("M"&amp;(T242+70))="X",INDIRECT("M"&amp;(U242+70))="X",INDIRECT("M"&amp;(V242+70))="X"),1,0)+IF(AND(INDIRECT("N"&amp;(T242+70))="X",INDIRECT("N"&amp;(U242+70))="X",INDIRECT("N"&amp;(V242+70))="X"),1,0)+IF(AND(INDIRECT("O"&amp;(T242+70))="X",INDIRECT("O"&amp;(U242+70))="X",INDIRECT("O"&amp;(V242+70))="X"),1,0)+IF(AND(INDIRECT("P"&amp;(T242+70))="X",INDIRECT("P"&amp;(U242+70))="X",INDIRECT("P"&amp;(V242+70))="X"),1,0)+IF(AND(INDIRECT("Q"&amp;(T242+70))="X",INDIRECT("Q"&amp;(U242+70))="X",INDIRECT("Q"&amp;(V242+70))="X"),1,0)</f>
        <v>2</v>
      </c>
    </row>
    <row r="243" spans="20:23" x14ac:dyDescent="0.3">
      <c r="T243">
        <v>3</v>
      </c>
      <c r="U243">
        <v>9</v>
      </c>
      <c r="V243">
        <v>14</v>
      </c>
      <c r="W243" cm="1">
        <f t="array" aca="1" ref="W243" ca="1">IF(AND(INDIRECT("B"&amp;(T243+70))="X",INDIRECT("B"&amp;(U243+70))="X",INDIRECT("B"&amp;(V243+70))="X"),1,0)+IF(AND(INDIRECT("C"&amp;(T243+70))="X",INDIRECT("C"&amp;(U243+70))="X",INDIRECT("C"&amp;(V243+70))="X"),1,0)+IF(AND(INDIRECT("D"&amp;(T243+70))="X",INDIRECT("D"&amp;(U243+70))="X",INDIRECT("D"&amp;(V243+70))="X"),1,0)+IF(AND(INDIRECT("E"&amp;(T243+70))="X",INDIRECT("E"&amp;(U243+70))="X",INDIRECT("E"&amp;(V243+70))="X"),1,0)+IF(AND(INDIRECT("F"&amp;(T243+70))="X",INDIRECT("F"&amp;(U243+70))="X",INDIRECT("F"&amp;(V243+70))="X"),1,0)+IF(AND(INDIRECT("G"&amp;(T243+70))="X",INDIRECT("G"&amp;(U243+70))="X",INDIRECT("G"&amp;(V243+70))="X"),1,0)+IF(AND(INDIRECT("H"&amp;(T243+70))="X",INDIRECT("H"&amp;(U243+70))="X",INDIRECT("H"&amp;(V243+70))="X"),1,0)+IF(AND(INDIRECT("I"&amp;(T243+70))="X",INDIRECT("I"&amp;(U243+70))="X",INDIRECT("I"&amp;(V243+70))="X"),1,0)+IF(AND(INDIRECT("J"&amp;(T243+70))="X",INDIRECT("J"&amp;(U243+70))="X",INDIRECT("J"&amp;(V243+70))="X"),1,0)+IF(AND(INDIRECT("K"&amp;(T243+70))="X",INDIRECT("K"&amp;(U243+70))="X",INDIRECT("K"&amp;(V243+70))="X"),1,0)+IF(AND(INDIRECT("L"&amp;(T243+70))="X",INDIRECT("L"&amp;(U243+70))="X",INDIRECT("L"&amp;(V243+70))="X"),1,0)+IF(AND(INDIRECT("M"&amp;(T243+70))="X",INDIRECT("M"&amp;(U243+70))="X",INDIRECT("M"&amp;(V243+70))="X"),1,0)+IF(AND(INDIRECT("N"&amp;(T243+70))="X",INDIRECT("N"&amp;(U243+70))="X",INDIRECT("N"&amp;(V243+70))="X"),1,0)+IF(AND(INDIRECT("O"&amp;(T243+70))="X",INDIRECT("O"&amp;(U243+70))="X",INDIRECT("O"&amp;(V243+70))="X"),1,0)+IF(AND(INDIRECT("P"&amp;(T243+70))="X",INDIRECT("P"&amp;(U243+70))="X",INDIRECT("P"&amp;(V243+70))="X"),1,0)+IF(AND(INDIRECT("Q"&amp;(T243+70))="X",INDIRECT("Q"&amp;(U243+70))="X",INDIRECT("Q"&amp;(V243+70))="X"),1,0)</f>
        <v>1</v>
      </c>
    </row>
    <row r="244" spans="20:23" x14ac:dyDescent="0.3">
      <c r="T244">
        <v>3</v>
      </c>
      <c r="U244">
        <v>10</v>
      </c>
      <c r="V244">
        <v>11</v>
      </c>
      <c r="W244" cm="1">
        <f t="array" aca="1" ref="W244" ca="1">IF(AND(INDIRECT("B"&amp;(T244+70))="X",INDIRECT("B"&amp;(U244+70))="X",INDIRECT("B"&amp;(V244+70))="X"),1,0)+IF(AND(INDIRECT("C"&amp;(T244+70))="X",INDIRECT("C"&amp;(U244+70))="X",INDIRECT("C"&amp;(V244+70))="X"),1,0)+IF(AND(INDIRECT("D"&amp;(T244+70))="X",INDIRECT("D"&amp;(U244+70))="X",INDIRECT("D"&amp;(V244+70))="X"),1,0)+IF(AND(INDIRECT("E"&amp;(T244+70))="X",INDIRECT("E"&amp;(U244+70))="X",INDIRECT("E"&amp;(V244+70))="X"),1,0)+IF(AND(INDIRECT("F"&amp;(T244+70))="X",INDIRECT("F"&amp;(U244+70))="X",INDIRECT("F"&amp;(V244+70))="X"),1,0)+IF(AND(INDIRECT("G"&amp;(T244+70))="X",INDIRECT("G"&amp;(U244+70))="X",INDIRECT("G"&amp;(V244+70))="X"),1,0)+IF(AND(INDIRECT("H"&amp;(T244+70))="X",INDIRECT("H"&amp;(U244+70))="X",INDIRECT("H"&amp;(V244+70))="X"),1,0)+IF(AND(INDIRECT("I"&amp;(T244+70))="X",INDIRECT("I"&amp;(U244+70))="X",INDIRECT("I"&amp;(V244+70))="X"),1,0)+IF(AND(INDIRECT("J"&amp;(T244+70))="X",INDIRECT("J"&amp;(U244+70))="X",INDIRECT("J"&amp;(V244+70))="X"),1,0)+IF(AND(INDIRECT("K"&amp;(T244+70))="X",INDIRECT("K"&amp;(U244+70))="X",INDIRECT("K"&amp;(V244+70))="X"),1,0)+IF(AND(INDIRECT("L"&amp;(T244+70))="X",INDIRECT("L"&amp;(U244+70))="X",INDIRECT("L"&amp;(V244+70))="X"),1,0)+IF(AND(INDIRECT("M"&amp;(T244+70))="X",INDIRECT("M"&amp;(U244+70))="X",INDIRECT("M"&amp;(V244+70))="X"),1,0)+IF(AND(INDIRECT("N"&amp;(T244+70))="X",INDIRECT("N"&amp;(U244+70))="X",INDIRECT("N"&amp;(V244+70))="X"),1,0)+IF(AND(INDIRECT("O"&amp;(T244+70))="X",INDIRECT("O"&amp;(U244+70))="X",INDIRECT("O"&amp;(V244+70))="X"),1,0)+IF(AND(INDIRECT("P"&amp;(T244+70))="X",INDIRECT("P"&amp;(U244+70))="X",INDIRECT("P"&amp;(V244+70))="X"),1,0)+IF(AND(INDIRECT("Q"&amp;(T244+70))="X",INDIRECT("Q"&amp;(U244+70))="X",INDIRECT("Q"&amp;(V244+70))="X"),1,0)</f>
        <v>1</v>
      </c>
    </row>
    <row r="245" spans="20:23" x14ac:dyDescent="0.3">
      <c r="T245">
        <v>3</v>
      </c>
      <c r="U245">
        <v>10</v>
      </c>
      <c r="V245">
        <v>12</v>
      </c>
      <c r="W245" cm="1">
        <f t="array" aca="1" ref="W245" ca="1">IF(AND(INDIRECT("B"&amp;(T245+70))="X",INDIRECT("B"&amp;(U245+70))="X",INDIRECT("B"&amp;(V245+70))="X"),1,0)+IF(AND(INDIRECT("C"&amp;(T245+70))="X",INDIRECT("C"&amp;(U245+70))="X",INDIRECT("C"&amp;(V245+70))="X"),1,0)+IF(AND(INDIRECT("D"&amp;(T245+70))="X",INDIRECT("D"&amp;(U245+70))="X",INDIRECT("D"&amp;(V245+70))="X"),1,0)+IF(AND(INDIRECT("E"&amp;(T245+70))="X",INDIRECT("E"&amp;(U245+70))="X",INDIRECT("E"&amp;(V245+70))="X"),1,0)+IF(AND(INDIRECT("F"&amp;(T245+70))="X",INDIRECT("F"&amp;(U245+70))="X",INDIRECT("F"&amp;(V245+70))="X"),1,0)+IF(AND(INDIRECT("G"&amp;(T245+70))="X",INDIRECT("G"&amp;(U245+70))="X",INDIRECT("G"&amp;(V245+70))="X"),1,0)+IF(AND(INDIRECT("H"&amp;(T245+70))="X",INDIRECT("H"&amp;(U245+70))="X",INDIRECT("H"&amp;(V245+70))="X"),1,0)+IF(AND(INDIRECT("I"&amp;(T245+70))="X",INDIRECT("I"&amp;(U245+70))="X",INDIRECT("I"&amp;(V245+70))="X"),1,0)+IF(AND(INDIRECT("J"&amp;(T245+70))="X",INDIRECT("J"&amp;(U245+70))="X",INDIRECT("J"&amp;(V245+70))="X"),1,0)+IF(AND(INDIRECT("K"&amp;(T245+70))="X",INDIRECT("K"&amp;(U245+70))="X",INDIRECT("K"&amp;(V245+70))="X"),1,0)+IF(AND(INDIRECT("L"&amp;(T245+70))="X",INDIRECT("L"&amp;(U245+70))="X",INDIRECT("L"&amp;(V245+70))="X"),1,0)+IF(AND(INDIRECT("M"&amp;(T245+70))="X",INDIRECT("M"&amp;(U245+70))="X",INDIRECT("M"&amp;(V245+70))="X"),1,0)+IF(AND(INDIRECT("N"&amp;(T245+70))="X",INDIRECT("N"&amp;(U245+70))="X",INDIRECT("N"&amp;(V245+70))="X"),1,0)+IF(AND(INDIRECT("O"&amp;(T245+70))="X",INDIRECT("O"&amp;(U245+70))="X",INDIRECT("O"&amp;(V245+70))="X"),1,0)+IF(AND(INDIRECT("P"&amp;(T245+70))="X",INDIRECT("P"&amp;(U245+70))="X",INDIRECT("P"&amp;(V245+70))="X"),1,0)+IF(AND(INDIRECT("Q"&amp;(T245+70))="X",INDIRECT("Q"&amp;(U245+70))="X",INDIRECT("Q"&amp;(V245+70))="X"),1,0)</f>
        <v>2</v>
      </c>
    </row>
    <row r="246" spans="20:23" x14ac:dyDescent="0.3">
      <c r="T246">
        <v>3</v>
      </c>
      <c r="U246">
        <v>10</v>
      </c>
      <c r="V246">
        <v>13</v>
      </c>
      <c r="W246" cm="1">
        <f t="array" aca="1" ref="W246" ca="1">IF(AND(INDIRECT("B"&amp;(T246+70))="X",INDIRECT("B"&amp;(U246+70))="X",INDIRECT("B"&amp;(V246+70))="X"),1,0)+IF(AND(INDIRECT("C"&amp;(T246+70))="X",INDIRECT("C"&amp;(U246+70))="X",INDIRECT("C"&amp;(V246+70))="X"),1,0)+IF(AND(INDIRECT("D"&amp;(T246+70))="X",INDIRECT("D"&amp;(U246+70))="X",INDIRECT("D"&amp;(V246+70))="X"),1,0)+IF(AND(INDIRECT("E"&amp;(T246+70))="X",INDIRECT("E"&amp;(U246+70))="X",INDIRECT("E"&amp;(V246+70))="X"),1,0)+IF(AND(INDIRECT("F"&amp;(T246+70))="X",INDIRECT("F"&amp;(U246+70))="X",INDIRECT("F"&amp;(V246+70))="X"),1,0)+IF(AND(INDIRECT("G"&amp;(T246+70))="X",INDIRECT("G"&amp;(U246+70))="X",INDIRECT("G"&amp;(V246+70))="X"),1,0)+IF(AND(INDIRECT("H"&amp;(T246+70))="X",INDIRECT("H"&amp;(U246+70))="X",INDIRECT("H"&amp;(V246+70))="X"),1,0)+IF(AND(INDIRECT("I"&amp;(T246+70))="X",INDIRECT("I"&amp;(U246+70))="X",INDIRECT("I"&amp;(V246+70))="X"),1,0)+IF(AND(INDIRECT("J"&amp;(T246+70))="X",INDIRECT("J"&amp;(U246+70))="X",INDIRECT("J"&amp;(V246+70))="X"),1,0)+IF(AND(INDIRECT("K"&amp;(T246+70))="X",INDIRECT("K"&amp;(U246+70))="X",INDIRECT("K"&amp;(V246+70))="X"),1,0)+IF(AND(INDIRECT("L"&amp;(T246+70))="X",INDIRECT("L"&amp;(U246+70))="X",INDIRECT("L"&amp;(V246+70))="X"),1,0)+IF(AND(INDIRECT("M"&amp;(T246+70))="X",INDIRECT("M"&amp;(U246+70))="X",INDIRECT("M"&amp;(V246+70))="X"),1,0)+IF(AND(INDIRECT("N"&amp;(T246+70))="X",INDIRECT("N"&amp;(U246+70))="X",INDIRECT("N"&amp;(V246+70))="X"),1,0)+IF(AND(INDIRECT("O"&amp;(T246+70))="X",INDIRECT("O"&amp;(U246+70))="X",INDIRECT("O"&amp;(V246+70))="X"),1,0)+IF(AND(INDIRECT("P"&amp;(T246+70))="X",INDIRECT("P"&amp;(U246+70))="X",INDIRECT("P"&amp;(V246+70))="X"),1,0)+IF(AND(INDIRECT("Q"&amp;(T246+70))="X",INDIRECT("Q"&amp;(U246+70))="X",INDIRECT("Q"&amp;(V246+70))="X"),1,0)</f>
        <v>1</v>
      </c>
    </row>
    <row r="247" spans="20:23" x14ac:dyDescent="0.3">
      <c r="T247">
        <v>3</v>
      </c>
      <c r="U247">
        <v>10</v>
      </c>
      <c r="V247">
        <v>14</v>
      </c>
      <c r="W247" cm="1">
        <f t="array" aca="1" ref="W247" ca="1">IF(AND(INDIRECT("B"&amp;(T247+70))="X",INDIRECT("B"&amp;(U247+70))="X",INDIRECT("B"&amp;(V247+70))="X"),1,0)+IF(AND(INDIRECT("C"&amp;(T247+70))="X",INDIRECT("C"&amp;(U247+70))="X",INDIRECT("C"&amp;(V247+70))="X"),1,0)+IF(AND(INDIRECT("D"&amp;(T247+70))="X",INDIRECT("D"&amp;(U247+70))="X",INDIRECT("D"&amp;(V247+70))="X"),1,0)+IF(AND(INDIRECT("E"&amp;(T247+70))="X",INDIRECT("E"&amp;(U247+70))="X",INDIRECT("E"&amp;(V247+70))="X"),1,0)+IF(AND(INDIRECT("F"&amp;(T247+70))="X",INDIRECT("F"&amp;(U247+70))="X",INDIRECT("F"&amp;(V247+70))="X"),1,0)+IF(AND(INDIRECT("G"&amp;(T247+70))="X",INDIRECT("G"&amp;(U247+70))="X",INDIRECT("G"&amp;(V247+70))="X"),1,0)+IF(AND(INDIRECT("H"&amp;(T247+70))="X",INDIRECT("H"&amp;(U247+70))="X",INDIRECT("H"&amp;(V247+70))="X"),1,0)+IF(AND(INDIRECT("I"&amp;(T247+70))="X",INDIRECT("I"&amp;(U247+70))="X",INDIRECT("I"&amp;(V247+70))="X"),1,0)+IF(AND(INDIRECT("J"&amp;(T247+70))="X",INDIRECT("J"&amp;(U247+70))="X",INDIRECT("J"&amp;(V247+70))="X"),1,0)+IF(AND(INDIRECT("K"&amp;(T247+70))="X",INDIRECT("K"&amp;(U247+70))="X",INDIRECT("K"&amp;(V247+70))="X"),1,0)+IF(AND(INDIRECT("L"&amp;(T247+70))="X",INDIRECT("L"&amp;(U247+70))="X",INDIRECT("L"&amp;(V247+70))="X"),1,0)+IF(AND(INDIRECT("M"&amp;(T247+70))="X",INDIRECT("M"&amp;(U247+70))="X",INDIRECT("M"&amp;(V247+70))="X"),1,0)+IF(AND(INDIRECT("N"&amp;(T247+70))="X",INDIRECT("N"&amp;(U247+70))="X",INDIRECT("N"&amp;(V247+70))="X"),1,0)+IF(AND(INDIRECT("O"&amp;(T247+70))="X",INDIRECT("O"&amp;(U247+70))="X",INDIRECT("O"&amp;(V247+70))="X"),1,0)+IF(AND(INDIRECT("P"&amp;(T247+70))="X",INDIRECT("P"&amp;(U247+70))="X",INDIRECT("P"&amp;(V247+70))="X"),1,0)+IF(AND(INDIRECT("Q"&amp;(T247+70))="X",INDIRECT("Q"&amp;(U247+70))="X",INDIRECT("Q"&amp;(V247+70))="X"),1,0)</f>
        <v>2</v>
      </c>
    </row>
    <row r="248" spans="20:23" x14ac:dyDescent="0.3">
      <c r="T248">
        <v>3</v>
      </c>
      <c r="U248">
        <v>11</v>
      </c>
      <c r="V248">
        <v>12</v>
      </c>
      <c r="W248" cm="1">
        <f t="array" aca="1" ref="W248" ca="1">IF(AND(INDIRECT("B"&amp;(T248+70))="X",INDIRECT("B"&amp;(U248+70))="X",INDIRECT("B"&amp;(V248+70))="X"),1,0)+IF(AND(INDIRECT("C"&amp;(T248+70))="X",INDIRECT("C"&amp;(U248+70))="X",INDIRECT("C"&amp;(V248+70))="X"),1,0)+IF(AND(INDIRECT("D"&amp;(T248+70))="X",INDIRECT("D"&amp;(U248+70))="X",INDIRECT("D"&amp;(V248+70))="X"),1,0)+IF(AND(INDIRECT("E"&amp;(T248+70))="X",INDIRECT("E"&amp;(U248+70))="X",INDIRECT("E"&amp;(V248+70))="X"),1,0)+IF(AND(INDIRECT("F"&amp;(T248+70))="X",INDIRECT("F"&amp;(U248+70))="X",INDIRECT("F"&amp;(V248+70))="X"),1,0)+IF(AND(INDIRECT("G"&amp;(T248+70))="X",INDIRECT("G"&amp;(U248+70))="X",INDIRECT("G"&amp;(V248+70))="X"),1,0)+IF(AND(INDIRECT("H"&amp;(T248+70))="X",INDIRECT("H"&amp;(U248+70))="X",INDIRECT("H"&amp;(V248+70))="X"),1,0)+IF(AND(INDIRECT("I"&amp;(T248+70))="X",INDIRECT("I"&amp;(U248+70))="X",INDIRECT("I"&amp;(V248+70))="X"),1,0)+IF(AND(INDIRECT("J"&amp;(T248+70))="X",INDIRECT("J"&amp;(U248+70))="X",INDIRECT("J"&amp;(V248+70))="X"),1,0)+IF(AND(INDIRECT("K"&amp;(T248+70))="X",INDIRECT("K"&amp;(U248+70))="X",INDIRECT("K"&amp;(V248+70))="X"),1,0)+IF(AND(INDIRECT("L"&amp;(T248+70))="X",INDIRECT("L"&amp;(U248+70))="X",INDIRECT("L"&amp;(V248+70))="X"),1,0)+IF(AND(INDIRECT("M"&amp;(T248+70))="X",INDIRECT("M"&amp;(U248+70))="X",INDIRECT("M"&amp;(V248+70))="X"),1,0)+IF(AND(INDIRECT("N"&amp;(T248+70))="X",INDIRECT("N"&amp;(U248+70))="X",INDIRECT("N"&amp;(V248+70))="X"),1,0)+IF(AND(INDIRECT("O"&amp;(T248+70))="X",INDIRECT("O"&amp;(U248+70))="X",INDIRECT("O"&amp;(V248+70))="X"),1,0)+IF(AND(INDIRECT("P"&amp;(T248+70))="X",INDIRECT("P"&amp;(U248+70))="X",INDIRECT("P"&amp;(V248+70))="X"),1,0)+IF(AND(INDIRECT("Q"&amp;(T248+70))="X",INDIRECT("Q"&amp;(U248+70))="X",INDIRECT("Q"&amp;(V248+70))="X"),1,0)</f>
        <v>2</v>
      </c>
    </row>
    <row r="249" spans="20:23" x14ac:dyDescent="0.3">
      <c r="T249">
        <v>3</v>
      </c>
      <c r="U249">
        <v>11</v>
      </c>
      <c r="V249">
        <v>13</v>
      </c>
      <c r="W249" cm="1">
        <f t="array" aca="1" ref="W249" ca="1">IF(AND(INDIRECT("B"&amp;(T249+70))="X",INDIRECT("B"&amp;(U249+70))="X",INDIRECT("B"&amp;(V249+70))="X"),1,0)+IF(AND(INDIRECT("C"&amp;(T249+70))="X",INDIRECT("C"&amp;(U249+70))="X",INDIRECT("C"&amp;(V249+70))="X"),1,0)+IF(AND(INDIRECT("D"&amp;(T249+70))="X",INDIRECT("D"&amp;(U249+70))="X",INDIRECT("D"&amp;(V249+70))="X"),1,0)+IF(AND(INDIRECT("E"&amp;(T249+70))="X",INDIRECT("E"&amp;(U249+70))="X",INDIRECT("E"&amp;(V249+70))="X"),1,0)+IF(AND(INDIRECT("F"&amp;(T249+70))="X",INDIRECT("F"&amp;(U249+70))="X",INDIRECT("F"&amp;(V249+70))="X"),1,0)+IF(AND(INDIRECT("G"&amp;(T249+70))="X",INDIRECT("G"&amp;(U249+70))="X",INDIRECT("G"&amp;(V249+70))="X"),1,0)+IF(AND(INDIRECT("H"&amp;(T249+70))="X",INDIRECT("H"&amp;(U249+70))="X",INDIRECT("H"&amp;(V249+70))="X"),1,0)+IF(AND(INDIRECT("I"&amp;(T249+70))="X",INDIRECT("I"&amp;(U249+70))="X",INDIRECT("I"&amp;(V249+70))="X"),1,0)+IF(AND(INDIRECT("J"&amp;(T249+70))="X",INDIRECT("J"&amp;(U249+70))="X",INDIRECT("J"&amp;(V249+70))="X"),1,0)+IF(AND(INDIRECT("K"&amp;(T249+70))="X",INDIRECT("K"&amp;(U249+70))="X",INDIRECT("K"&amp;(V249+70))="X"),1,0)+IF(AND(INDIRECT("L"&amp;(T249+70))="X",INDIRECT("L"&amp;(U249+70))="X",INDIRECT("L"&amp;(V249+70))="X"),1,0)+IF(AND(INDIRECT("M"&amp;(T249+70))="X",INDIRECT("M"&amp;(U249+70))="X",INDIRECT("M"&amp;(V249+70))="X"),1,0)+IF(AND(INDIRECT("N"&amp;(T249+70))="X",INDIRECT("N"&amp;(U249+70))="X",INDIRECT("N"&amp;(V249+70))="X"),1,0)+IF(AND(INDIRECT("O"&amp;(T249+70))="X",INDIRECT("O"&amp;(U249+70))="X",INDIRECT("O"&amp;(V249+70))="X"),1,0)+IF(AND(INDIRECT("P"&amp;(T249+70))="X",INDIRECT("P"&amp;(U249+70))="X",INDIRECT("P"&amp;(V249+70))="X"),1,0)+IF(AND(INDIRECT("Q"&amp;(T249+70))="X",INDIRECT("Q"&amp;(U249+70))="X",INDIRECT("Q"&amp;(V249+70))="X"),1,0)</f>
        <v>3</v>
      </c>
    </row>
    <row r="250" spans="20:23" x14ac:dyDescent="0.3">
      <c r="T250">
        <v>3</v>
      </c>
      <c r="U250">
        <v>11</v>
      </c>
      <c r="V250">
        <v>14</v>
      </c>
      <c r="W250" cm="1">
        <f t="array" aca="1" ref="W250" ca="1">IF(AND(INDIRECT("B"&amp;(T250+70))="X",INDIRECT("B"&amp;(U250+70))="X",INDIRECT("B"&amp;(V250+70))="X"),1,0)+IF(AND(INDIRECT("C"&amp;(T250+70))="X",INDIRECT("C"&amp;(U250+70))="X",INDIRECT("C"&amp;(V250+70))="X"),1,0)+IF(AND(INDIRECT("D"&amp;(T250+70))="X",INDIRECT("D"&amp;(U250+70))="X",INDIRECT("D"&amp;(V250+70))="X"),1,0)+IF(AND(INDIRECT("E"&amp;(T250+70))="X",INDIRECT("E"&amp;(U250+70))="X",INDIRECT("E"&amp;(V250+70))="X"),1,0)+IF(AND(INDIRECT("F"&amp;(T250+70))="X",INDIRECT("F"&amp;(U250+70))="X",INDIRECT("F"&amp;(V250+70))="X"),1,0)+IF(AND(INDIRECT("G"&amp;(T250+70))="X",INDIRECT("G"&amp;(U250+70))="X",INDIRECT("G"&amp;(V250+70))="X"),1,0)+IF(AND(INDIRECT("H"&amp;(T250+70))="X",INDIRECT("H"&amp;(U250+70))="X",INDIRECT("H"&amp;(V250+70))="X"),1,0)+IF(AND(INDIRECT("I"&amp;(T250+70))="X",INDIRECT("I"&amp;(U250+70))="X",INDIRECT("I"&amp;(V250+70))="X"),1,0)+IF(AND(INDIRECT("J"&amp;(T250+70))="X",INDIRECT("J"&amp;(U250+70))="X",INDIRECT("J"&amp;(V250+70))="X"),1,0)+IF(AND(INDIRECT("K"&amp;(T250+70))="X",INDIRECT("K"&amp;(U250+70))="X",INDIRECT("K"&amp;(V250+70))="X"),1,0)+IF(AND(INDIRECT("L"&amp;(T250+70))="X",INDIRECT("L"&amp;(U250+70))="X",INDIRECT("L"&amp;(V250+70))="X"),1,0)+IF(AND(INDIRECT("M"&amp;(T250+70))="X",INDIRECT("M"&amp;(U250+70))="X",INDIRECT("M"&amp;(V250+70))="X"),1,0)+IF(AND(INDIRECT("N"&amp;(T250+70))="X",INDIRECT("N"&amp;(U250+70))="X",INDIRECT("N"&amp;(V250+70))="X"),1,0)+IF(AND(INDIRECT("O"&amp;(T250+70))="X",INDIRECT("O"&amp;(U250+70))="X",INDIRECT("O"&amp;(V250+70))="X"),1,0)+IF(AND(INDIRECT("P"&amp;(T250+70))="X",INDIRECT("P"&amp;(U250+70))="X",INDIRECT("P"&amp;(V250+70))="X"),1,0)+IF(AND(INDIRECT("Q"&amp;(T250+70))="X",INDIRECT("Q"&amp;(U250+70))="X",INDIRECT("Q"&amp;(V250+70))="X"),1,0)</f>
        <v>1</v>
      </c>
    </row>
    <row r="251" spans="20:23" x14ac:dyDescent="0.3">
      <c r="T251">
        <v>3</v>
      </c>
      <c r="U251">
        <v>12</v>
      </c>
      <c r="V251">
        <v>13</v>
      </c>
      <c r="W251" cm="1">
        <f t="array" aca="1" ref="W251" ca="1">IF(AND(INDIRECT("B"&amp;(T251+70))="X",INDIRECT("B"&amp;(U251+70))="X",INDIRECT("B"&amp;(V251+70))="X"),1,0)+IF(AND(INDIRECT("C"&amp;(T251+70))="X",INDIRECT("C"&amp;(U251+70))="X",INDIRECT("C"&amp;(V251+70))="X"),1,0)+IF(AND(INDIRECT("D"&amp;(T251+70))="X",INDIRECT("D"&amp;(U251+70))="X",INDIRECT("D"&amp;(V251+70))="X"),1,0)+IF(AND(INDIRECT("E"&amp;(T251+70))="X",INDIRECT("E"&amp;(U251+70))="X",INDIRECT("E"&amp;(V251+70))="X"),1,0)+IF(AND(INDIRECT("F"&amp;(T251+70))="X",INDIRECT("F"&amp;(U251+70))="X",INDIRECT("F"&amp;(V251+70))="X"),1,0)+IF(AND(INDIRECT("G"&amp;(T251+70))="X",INDIRECT("G"&amp;(U251+70))="X",INDIRECT("G"&amp;(V251+70))="X"),1,0)+IF(AND(INDIRECT("H"&amp;(T251+70))="X",INDIRECT("H"&amp;(U251+70))="X",INDIRECT("H"&amp;(V251+70))="X"),1,0)+IF(AND(INDIRECT("I"&amp;(T251+70))="X",INDIRECT("I"&amp;(U251+70))="X",INDIRECT("I"&amp;(V251+70))="X"),1,0)+IF(AND(INDIRECT("J"&amp;(T251+70))="X",INDIRECT("J"&amp;(U251+70))="X",INDIRECT("J"&amp;(V251+70))="X"),1,0)+IF(AND(INDIRECT("K"&amp;(T251+70))="X",INDIRECT("K"&amp;(U251+70))="X",INDIRECT("K"&amp;(V251+70))="X"),1,0)+IF(AND(INDIRECT("L"&amp;(T251+70))="X",INDIRECT("L"&amp;(U251+70))="X",INDIRECT("L"&amp;(V251+70))="X"),1,0)+IF(AND(INDIRECT("M"&amp;(T251+70))="X",INDIRECT("M"&amp;(U251+70))="X",INDIRECT("M"&amp;(V251+70))="X"),1,0)+IF(AND(INDIRECT("N"&amp;(T251+70))="X",INDIRECT("N"&amp;(U251+70))="X",INDIRECT("N"&amp;(V251+70))="X"),1,0)+IF(AND(INDIRECT("O"&amp;(T251+70))="X",INDIRECT("O"&amp;(U251+70))="X",INDIRECT("O"&amp;(V251+70))="X"),1,0)+IF(AND(INDIRECT("P"&amp;(T251+70))="X",INDIRECT("P"&amp;(U251+70))="X",INDIRECT("P"&amp;(V251+70))="X"),1,0)+IF(AND(INDIRECT("Q"&amp;(T251+70))="X",INDIRECT("Q"&amp;(U251+70))="X",INDIRECT("Q"&amp;(V251+70))="X"),1,0)</f>
        <v>4</v>
      </c>
    </row>
    <row r="252" spans="20:23" x14ac:dyDescent="0.3">
      <c r="T252">
        <v>3</v>
      </c>
      <c r="U252">
        <v>12</v>
      </c>
      <c r="V252">
        <v>14</v>
      </c>
      <c r="W252" cm="1">
        <f t="array" aca="1" ref="W252" ca="1">IF(AND(INDIRECT("B"&amp;(T252+70))="X",INDIRECT("B"&amp;(U252+70))="X",INDIRECT("B"&amp;(V252+70))="X"),1,0)+IF(AND(INDIRECT("C"&amp;(T252+70))="X",INDIRECT("C"&amp;(U252+70))="X",INDIRECT("C"&amp;(V252+70))="X"),1,0)+IF(AND(INDIRECT("D"&amp;(T252+70))="X",INDIRECT("D"&amp;(U252+70))="X",INDIRECT("D"&amp;(V252+70))="X"),1,0)+IF(AND(INDIRECT("E"&amp;(T252+70))="X",INDIRECT("E"&amp;(U252+70))="X",INDIRECT("E"&amp;(V252+70))="X"),1,0)+IF(AND(INDIRECT("F"&amp;(T252+70))="X",INDIRECT("F"&amp;(U252+70))="X",INDIRECT("F"&amp;(V252+70))="X"),1,0)+IF(AND(INDIRECT("G"&amp;(T252+70))="X",INDIRECT("G"&amp;(U252+70))="X",INDIRECT("G"&amp;(V252+70))="X"),1,0)+IF(AND(INDIRECT("H"&amp;(T252+70))="X",INDIRECT("H"&amp;(U252+70))="X",INDIRECT("H"&amp;(V252+70))="X"),1,0)+IF(AND(INDIRECT("I"&amp;(T252+70))="X",INDIRECT("I"&amp;(U252+70))="X",INDIRECT("I"&amp;(V252+70))="X"),1,0)+IF(AND(INDIRECT("J"&amp;(T252+70))="X",INDIRECT("J"&amp;(U252+70))="X",INDIRECT("J"&amp;(V252+70))="X"),1,0)+IF(AND(INDIRECT("K"&amp;(T252+70))="X",INDIRECT("K"&amp;(U252+70))="X",INDIRECT("K"&amp;(V252+70))="X"),1,0)+IF(AND(INDIRECT("L"&amp;(T252+70))="X",INDIRECT("L"&amp;(U252+70))="X",INDIRECT("L"&amp;(V252+70))="X"),1,0)+IF(AND(INDIRECT("M"&amp;(T252+70))="X",INDIRECT("M"&amp;(U252+70))="X",INDIRECT("M"&amp;(V252+70))="X"),1,0)+IF(AND(INDIRECT("N"&amp;(T252+70))="X",INDIRECT("N"&amp;(U252+70))="X",INDIRECT("N"&amp;(V252+70))="X"),1,0)+IF(AND(INDIRECT("O"&amp;(T252+70))="X",INDIRECT("O"&amp;(U252+70))="X",INDIRECT("O"&amp;(V252+70))="X"),1,0)+IF(AND(INDIRECT("P"&amp;(T252+70))="X",INDIRECT("P"&amp;(U252+70))="X",INDIRECT("P"&amp;(V252+70))="X"),1,0)+IF(AND(INDIRECT("Q"&amp;(T252+70))="X",INDIRECT("Q"&amp;(U252+70))="X",INDIRECT("Q"&amp;(V252+70))="X"),1,0)</f>
        <v>3</v>
      </c>
    </row>
    <row r="253" spans="20:23" x14ac:dyDescent="0.3">
      <c r="T253">
        <v>3</v>
      </c>
      <c r="U253">
        <v>13</v>
      </c>
      <c r="V253">
        <v>14</v>
      </c>
      <c r="W253" cm="1">
        <f t="array" aca="1" ref="W253" ca="1">IF(AND(INDIRECT("B"&amp;(T253+70))="X",INDIRECT("B"&amp;(U253+70))="X",INDIRECT("B"&amp;(V253+70))="X"),1,0)+IF(AND(INDIRECT("C"&amp;(T253+70))="X",INDIRECT("C"&amp;(U253+70))="X",INDIRECT("C"&amp;(V253+70))="X"),1,0)+IF(AND(INDIRECT("D"&amp;(T253+70))="X",INDIRECT("D"&amp;(U253+70))="X",INDIRECT("D"&amp;(V253+70))="X"),1,0)+IF(AND(INDIRECT("E"&amp;(T253+70))="X",INDIRECT("E"&amp;(U253+70))="X",INDIRECT("E"&amp;(V253+70))="X"),1,0)+IF(AND(INDIRECT("F"&amp;(T253+70))="X",INDIRECT("F"&amp;(U253+70))="X",INDIRECT("F"&amp;(V253+70))="X"),1,0)+IF(AND(INDIRECT("G"&amp;(T253+70))="X",INDIRECT("G"&amp;(U253+70))="X",INDIRECT("G"&amp;(V253+70))="X"),1,0)+IF(AND(INDIRECT("H"&amp;(T253+70))="X",INDIRECT("H"&amp;(U253+70))="X",INDIRECT("H"&amp;(V253+70))="X"),1,0)+IF(AND(INDIRECT("I"&amp;(T253+70))="X",INDIRECT("I"&amp;(U253+70))="X",INDIRECT("I"&amp;(V253+70))="X"),1,0)+IF(AND(INDIRECT("J"&amp;(T253+70))="X",INDIRECT("J"&amp;(U253+70))="X",INDIRECT("J"&amp;(V253+70))="X"),1,0)+IF(AND(INDIRECT("K"&amp;(T253+70))="X",INDIRECT("K"&amp;(U253+70))="X",INDIRECT("K"&amp;(V253+70))="X"),1,0)+IF(AND(INDIRECT("L"&amp;(T253+70))="X",INDIRECT("L"&amp;(U253+70))="X",INDIRECT("L"&amp;(V253+70))="X"),1,0)+IF(AND(INDIRECT("M"&amp;(T253+70))="X",INDIRECT("M"&amp;(U253+70))="X",INDIRECT("M"&amp;(V253+70))="X"),1,0)+IF(AND(INDIRECT("N"&amp;(T253+70))="X",INDIRECT("N"&amp;(U253+70))="X",INDIRECT("N"&amp;(V253+70))="X"),1,0)+IF(AND(INDIRECT("O"&amp;(T253+70))="X",INDIRECT("O"&amp;(U253+70))="X",INDIRECT("O"&amp;(V253+70))="X"),1,0)+IF(AND(INDIRECT("P"&amp;(T253+70))="X",INDIRECT("P"&amp;(U253+70))="X",INDIRECT("P"&amp;(V253+70))="X"),1,0)+IF(AND(INDIRECT("Q"&amp;(T253+70))="X",INDIRECT("Q"&amp;(U253+70))="X",INDIRECT("Q"&amp;(V253+70))="X"),1,0)</f>
        <v>1</v>
      </c>
    </row>
    <row r="254" spans="20:23" x14ac:dyDescent="0.3">
      <c r="T254">
        <v>4</v>
      </c>
      <c r="U254">
        <v>5</v>
      </c>
      <c r="V254">
        <v>6</v>
      </c>
      <c r="W254" cm="1">
        <f t="array" aca="1" ref="W254" ca="1">IF(AND(INDIRECT("B"&amp;(T254+70))="X",INDIRECT("B"&amp;(U254+70))="X",INDIRECT("B"&amp;(V254+70))="X"),1,0)+IF(AND(INDIRECT("C"&amp;(T254+70))="X",INDIRECT("C"&amp;(U254+70))="X",INDIRECT("C"&amp;(V254+70))="X"),1,0)+IF(AND(INDIRECT("D"&amp;(T254+70))="X",INDIRECT("D"&amp;(U254+70))="X",INDIRECT("D"&amp;(V254+70))="X"),1,0)+IF(AND(INDIRECT("E"&amp;(T254+70))="X",INDIRECT("E"&amp;(U254+70))="X",INDIRECT("E"&amp;(V254+70))="X"),1,0)+IF(AND(INDIRECT("F"&amp;(T254+70))="X",INDIRECT("F"&amp;(U254+70))="X",INDIRECT("F"&amp;(V254+70))="X"),1,0)+IF(AND(INDIRECT("G"&amp;(T254+70))="X",INDIRECT("G"&amp;(U254+70))="X",INDIRECT("G"&amp;(V254+70))="X"),1,0)+IF(AND(INDIRECT("H"&amp;(T254+70))="X",INDIRECT("H"&amp;(U254+70))="X",INDIRECT("H"&amp;(V254+70))="X"),1,0)+IF(AND(INDIRECT("I"&amp;(T254+70))="X",INDIRECT("I"&amp;(U254+70))="X",INDIRECT("I"&amp;(V254+70))="X"),1,0)+IF(AND(INDIRECT("J"&amp;(T254+70))="X",INDIRECT("J"&amp;(U254+70))="X",INDIRECT("J"&amp;(V254+70))="X"),1,0)+IF(AND(INDIRECT("K"&amp;(T254+70))="X",INDIRECT("K"&amp;(U254+70))="X",INDIRECT("K"&amp;(V254+70))="X"),1,0)+IF(AND(INDIRECT("L"&amp;(T254+70))="X",INDIRECT("L"&amp;(U254+70))="X",INDIRECT("L"&amp;(V254+70))="X"),1,0)+IF(AND(INDIRECT("M"&amp;(T254+70))="X",INDIRECT("M"&amp;(U254+70))="X",INDIRECT("M"&amp;(V254+70))="X"),1,0)+IF(AND(INDIRECT("N"&amp;(T254+70))="X",INDIRECT("N"&amp;(U254+70))="X",INDIRECT("N"&amp;(V254+70))="X"),1,0)+IF(AND(INDIRECT("O"&amp;(T254+70))="X",INDIRECT("O"&amp;(U254+70))="X",INDIRECT("O"&amp;(V254+70))="X"),1,0)+IF(AND(INDIRECT("P"&amp;(T254+70))="X",INDIRECT("P"&amp;(U254+70))="X",INDIRECT("P"&amp;(V254+70))="X"),1,0)+IF(AND(INDIRECT("Q"&amp;(T254+70))="X",INDIRECT("Q"&amp;(U254+70))="X",INDIRECT("Q"&amp;(V254+70))="X"),1,0)</f>
        <v>0</v>
      </c>
    </row>
    <row r="255" spans="20:23" x14ac:dyDescent="0.3">
      <c r="T255">
        <v>4</v>
      </c>
      <c r="U255">
        <v>5</v>
      </c>
      <c r="V255">
        <v>7</v>
      </c>
      <c r="W255" cm="1">
        <f t="array" aca="1" ref="W255" ca="1">IF(AND(INDIRECT("B"&amp;(T255+70))="X",INDIRECT("B"&amp;(U255+70))="X",INDIRECT("B"&amp;(V255+70))="X"),1,0)+IF(AND(INDIRECT("C"&amp;(T255+70))="X",INDIRECT("C"&amp;(U255+70))="X",INDIRECT("C"&amp;(V255+70))="X"),1,0)+IF(AND(INDIRECT("D"&amp;(T255+70))="X",INDIRECT("D"&amp;(U255+70))="X",INDIRECT("D"&amp;(V255+70))="X"),1,0)+IF(AND(INDIRECT("E"&amp;(T255+70))="X",INDIRECT("E"&amp;(U255+70))="X",INDIRECT("E"&amp;(V255+70))="X"),1,0)+IF(AND(INDIRECT("F"&amp;(T255+70))="X",INDIRECT("F"&amp;(U255+70))="X",INDIRECT("F"&amp;(V255+70))="X"),1,0)+IF(AND(INDIRECT("G"&amp;(T255+70))="X",INDIRECT("G"&amp;(U255+70))="X",INDIRECT("G"&amp;(V255+70))="X"),1,0)+IF(AND(INDIRECT("H"&amp;(T255+70))="X",INDIRECT("H"&amp;(U255+70))="X",INDIRECT("H"&amp;(V255+70))="X"),1,0)+IF(AND(INDIRECT("I"&amp;(T255+70))="X",INDIRECT("I"&amp;(U255+70))="X",INDIRECT("I"&amp;(V255+70))="X"),1,0)+IF(AND(INDIRECT("J"&amp;(T255+70))="X",INDIRECT("J"&amp;(U255+70))="X",INDIRECT("J"&amp;(V255+70))="X"),1,0)+IF(AND(INDIRECT("K"&amp;(T255+70))="X",INDIRECT("K"&amp;(U255+70))="X",INDIRECT("K"&amp;(V255+70))="X"),1,0)+IF(AND(INDIRECT("L"&amp;(T255+70))="X",INDIRECT("L"&amp;(U255+70))="X",INDIRECT("L"&amp;(V255+70))="X"),1,0)+IF(AND(INDIRECT("M"&amp;(T255+70))="X",INDIRECT("M"&amp;(U255+70))="X",INDIRECT("M"&amp;(V255+70))="X"),1,0)+IF(AND(INDIRECT("N"&amp;(T255+70))="X",INDIRECT("N"&amp;(U255+70))="X",INDIRECT("N"&amp;(V255+70))="X"),1,0)+IF(AND(INDIRECT("O"&amp;(T255+70))="X",INDIRECT("O"&amp;(U255+70))="X",INDIRECT("O"&amp;(V255+70))="X"),1,0)+IF(AND(INDIRECT("P"&amp;(T255+70))="X",INDIRECT("P"&amp;(U255+70))="X",INDIRECT("P"&amp;(V255+70))="X"),1,0)+IF(AND(INDIRECT("Q"&amp;(T255+70))="X",INDIRECT("Q"&amp;(U255+70))="X",INDIRECT("Q"&amp;(V255+70))="X"),1,0)</f>
        <v>4</v>
      </c>
    </row>
    <row r="256" spans="20:23" x14ac:dyDescent="0.3">
      <c r="T256">
        <v>4</v>
      </c>
      <c r="U256">
        <v>5</v>
      </c>
      <c r="V256">
        <v>8</v>
      </c>
      <c r="W256" cm="1">
        <f t="array" aca="1" ref="W256" ca="1">IF(AND(INDIRECT("B"&amp;(T256+70))="X",INDIRECT("B"&amp;(U256+70))="X",INDIRECT("B"&amp;(V256+70))="X"),1,0)+IF(AND(INDIRECT("C"&amp;(T256+70))="X",INDIRECT("C"&amp;(U256+70))="X",INDIRECT("C"&amp;(V256+70))="X"),1,0)+IF(AND(INDIRECT("D"&amp;(T256+70))="X",INDIRECT("D"&amp;(U256+70))="X",INDIRECT("D"&amp;(V256+70))="X"),1,0)+IF(AND(INDIRECT("E"&amp;(T256+70))="X",INDIRECT("E"&amp;(U256+70))="X",INDIRECT("E"&amp;(V256+70))="X"),1,0)+IF(AND(INDIRECT("F"&amp;(T256+70))="X",INDIRECT("F"&amp;(U256+70))="X",INDIRECT("F"&amp;(V256+70))="X"),1,0)+IF(AND(INDIRECT("G"&amp;(T256+70))="X",INDIRECT("G"&amp;(U256+70))="X",INDIRECT("G"&amp;(V256+70))="X"),1,0)+IF(AND(INDIRECT("H"&amp;(T256+70))="X",INDIRECT("H"&amp;(U256+70))="X",INDIRECT("H"&amp;(V256+70))="X"),1,0)+IF(AND(INDIRECT("I"&amp;(T256+70))="X",INDIRECT("I"&amp;(U256+70))="X",INDIRECT("I"&amp;(V256+70))="X"),1,0)+IF(AND(INDIRECT("J"&amp;(T256+70))="X",INDIRECT("J"&amp;(U256+70))="X",INDIRECT("J"&amp;(V256+70))="X"),1,0)+IF(AND(INDIRECT("K"&amp;(T256+70))="X",INDIRECT("K"&amp;(U256+70))="X",INDIRECT("K"&amp;(V256+70))="X"),1,0)+IF(AND(INDIRECT("L"&amp;(T256+70))="X",INDIRECT("L"&amp;(U256+70))="X",INDIRECT("L"&amp;(V256+70))="X"),1,0)+IF(AND(INDIRECT("M"&amp;(T256+70))="X",INDIRECT("M"&amp;(U256+70))="X",INDIRECT("M"&amp;(V256+70))="X"),1,0)+IF(AND(INDIRECT("N"&amp;(T256+70))="X",INDIRECT("N"&amp;(U256+70))="X",INDIRECT("N"&amp;(V256+70))="X"),1,0)+IF(AND(INDIRECT("O"&amp;(T256+70))="X",INDIRECT("O"&amp;(U256+70))="X",INDIRECT("O"&amp;(V256+70))="X"),1,0)+IF(AND(INDIRECT("P"&amp;(T256+70))="X",INDIRECT("P"&amp;(U256+70))="X",INDIRECT("P"&amp;(V256+70))="X"),1,0)+IF(AND(INDIRECT("Q"&amp;(T256+70))="X",INDIRECT("Q"&amp;(U256+70))="X",INDIRECT("Q"&amp;(V256+70))="X"),1,0)</f>
        <v>1</v>
      </c>
    </row>
    <row r="257" spans="20:23" x14ac:dyDescent="0.3">
      <c r="T257">
        <v>4</v>
      </c>
      <c r="U257">
        <v>5</v>
      </c>
      <c r="V257">
        <v>9</v>
      </c>
      <c r="W257" cm="1">
        <f t="array" aca="1" ref="W257" ca="1">IF(AND(INDIRECT("B"&amp;(T257+70))="X",INDIRECT("B"&amp;(U257+70))="X",INDIRECT("B"&amp;(V257+70))="X"),1,0)+IF(AND(INDIRECT("C"&amp;(T257+70))="X",INDIRECT("C"&amp;(U257+70))="X",INDIRECT("C"&amp;(V257+70))="X"),1,0)+IF(AND(INDIRECT("D"&amp;(T257+70))="X",INDIRECT("D"&amp;(U257+70))="X",INDIRECT("D"&amp;(V257+70))="X"),1,0)+IF(AND(INDIRECT("E"&amp;(T257+70))="X",INDIRECT("E"&amp;(U257+70))="X",INDIRECT("E"&amp;(V257+70))="X"),1,0)+IF(AND(INDIRECT("F"&amp;(T257+70))="X",INDIRECT("F"&amp;(U257+70))="X",INDIRECT("F"&amp;(V257+70))="X"),1,0)+IF(AND(INDIRECT("G"&amp;(T257+70))="X",INDIRECT("G"&amp;(U257+70))="X",INDIRECT("G"&amp;(V257+70))="X"),1,0)+IF(AND(INDIRECT("H"&amp;(T257+70))="X",INDIRECT("H"&amp;(U257+70))="X",INDIRECT("H"&amp;(V257+70))="X"),1,0)+IF(AND(INDIRECT("I"&amp;(T257+70))="X",INDIRECT("I"&amp;(U257+70))="X",INDIRECT("I"&amp;(V257+70))="X"),1,0)+IF(AND(INDIRECT("J"&amp;(T257+70))="X",INDIRECT("J"&amp;(U257+70))="X",INDIRECT("J"&amp;(V257+70))="X"),1,0)+IF(AND(INDIRECT("K"&amp;(T257+70))="X",INDIRECT("K"&amp;(U257+70))="X",INDIRECT("K"&amp;(V257+70))="X"),1,0)+IF(AND(INDIRECT("L"&amp;(T257+70))="X",INDIRECT("L"&amp;(U257+70))="X",INDIRECT("L"&amp;(V257+70))="X"),1,0)+IF(AND(INDIRECT("M"&amp;(T257+70))="X",INDIRECT("M"&amp;(U257+70))="X",INDIRECT("M"&amp;(V257+70))="X"),1,0)+IF(AND(INDIRECT("N"&amp;(T257+70))="X",INDIRECT("N"&amp;(U257+70))="X",INDIRECT("N"&amp;(V257+70))="X"),1,0)+IF(AND(INDIRECT("O"&amp;(T257+70))="X",INDIRECT("O"&amp;(U257+70))="X",INDIRECT("O"&amp;(V257+70))="X"),1,0)+IF(AND(INDIRECT("P"&amp;(T257+70))="X",INDIRECT("P"&amp;(U257+70))="X",INDIRECT("P"&amp;(V257+70))="X"),1,0)+IF(AND(INDIRECT("Q"&amp;(T257+70))="X",INDIRECT("Q"&amp;(U257+70))="X",INDIRECT("Q"&amp;(V257+70))="X"),1,0)</f>
        <v>1</v>
      </c>
    </row>
    <row r="258" spans="20:23" x14ac:dyDescent="0.3">
      <c r="T258">
        <v>4</v>
      </c>
      <c r="U258">
        <v>5</v>
      </c>
      <c r="V258">
        <v>10</v>
      </c>
      <c r="W258" cm="1">
        <f t="array" aca="1" ref="W258" ca="1">IF(AND(INDIRECT("B"&amp;(T258+70))="X",INDIRECT("B"&amp;(U258+70))="X",INDIRECT("B"&amp;(V258+70))="X"),1,0)+IF(AND(INDIRECT("C"&amp;(T258+70))="X",INDIRECT("C"&amp;(U258+70))="X",INDIRECT("C"&amp;(V258+70))="X"),1,0)+IF(AND(INDIRECT("D"&amp;(T258+70))="X",INDIRECT("D"&amp;(U258+70))="X",INDIRECT("D"&amp;(V258+70))="X"),1,0)+IF(AND(INDIRECT("E"&amp;(T258+70))="X",INDIRECT("E"&amp;(U258+70))="X",INDIRECT("E"&amp;(V258+70))="X"),1,0)+IF(AND(INDIRECT("F"&amp;(T258+70))="X",INDIRECT("F"&amp;(U258+70))="X",INDIRECT("F"&amp;(V258+70))="X"),1,0)+IF(AND(INDIRECT("G"&amp;(T258+70))="X",INDIRECT("G"&amp;(U258+70))="X",INDIRECT("G"&amp;(V258+70))="X"),1,0)+IF(AND(INDIRECT("H"&amp;(T258+70))="X",INDIRECT("H"&amp;(U258+70))="X",INDIRECT("H"&amp;(V258+70))="X"),1,0)+IF(AND(INDIRECT("I"&amp;(T258+70))="X",INDIRECT("I"&amp;(U258+70))="X",INDIRECT("I"&amp;(V258+70))="X"),1,0)+IF(AND(INDIRECT("J"&amp;(T258+70))="X",INDIRECT("J"&amp;(U258+70))="X",INDIRECT("J"&amp;(V258+70))="X"),1,0)+IF(AND(INDIRECT("K"&amp;(T258+70))="X",INDIRECT("K"&amp;(U258+70))="X",INDIRECT("K"&amp;(V258+70))="X"),1,0)+IF(AND(INDIRECT("L"&amp;(T258+70))="X",INDIRECT("L"&amp;(U258+70))="X",INDIRECT("L"&amp;(V258+70))="X"),1,0)+IF(AND(INDIRECT("M"&amp;(T258+70))="X",INDIRECT("M"&amp;(U258+70))="X",INDIRECT("M"&amp;(V258+70))="X"),1,0)+IF(AND(INDIRECT("N"&amp;(T258+70))="X",INDIRECT("N"&amp;(U258+70))="X",INDIRECT("N"&amp;(V258+70))="X"),1,0)+IF(AND(INDIRECT("O"&amp;(T258+70))="X",INDIRECT("O"&amp;(U258+70))="X",INDIRECT("O"&amp;(V258+70))="X"),1,0)+IF(AND(INDIRECT("P"&amp;(T258+70))="X",INDIRECT("P"&amp;(U258+70))="X",INDIRECT("P"&amp;(V258+70))="X"),1,0)+IF(AND(INDIRECT("Q"&amp;(T258+70))="X",INDIRECT("Q"&amp;(U258+70))="X",INDIRECT("Q"&amp;(V258+70))="X"),1,0)</f>
        <v>0</v>
      </c>
    </row>
    <row r="259" spans="20:23" x14ac:dyDescent="0.3">
      <c r="T259">
        <v>4</v>
      </c>
      <c r="U259">
        <v>5</v>
      </c>
      <c r="V259">
        <v>11</v>
      </c>
      <c r="W259" cm="1">
        <f t="array" aca="1" ref="W259" ca="1">IF(AND(INDIRECT("B"&amp;(T259+70))="X",INDIRECT("B"&amp;(U259+70))="X",INDIRECT("B"&amp;(V259+70))="X"),1,0)+IF(AND(INDIRECT("C"&amp;(T259+70))="X",INDIRECT("C"&amp;(U259+70))="X",INDIRECT("C"&amp;(V259+70))="X"),1,0)+IF(AND(INDIRECT("D"&amp;(T259+70))="X",INDIRECT("D"&amp;(U259+70))="X",INDIRECT("D"&amp;(V259+70))="X"),1,0)+IF(AND(INDIRECT("E"&amp;(T259+70))="X",INDIRECT("E"&amp;(U259+70))="X",INDIRECT("E"&amp;(V259+70))="X"),1,0)+IF(AND(INDIRECT("F"&amp;(T259+70))="X",INDIRECT("F"&amp;(U259+70))="X",INDIRECT("F"&amp;(V259+70))="X"),1,0)+IF(AND(INDIRECT("G"&amp;(T259+70))="X",INDIRECT("G"&amp;(U259+70))="X",INDIRECT("G"&amp;(V259+70))="X"),1,0)+IF(AND(INDIRECT("H"&amp;(T259+70))="X",INDIRECT("H"&amp;(U259+70))="X",INDIRECT("H"&amp;(V259+70))="X"),1,0)+IF(AND(INDIRECT("I"&amp;(T259+70))="X",INDIRECT("I"&amp;(U259+70))="X",INDIRECT("I"&amp;(V259+70))="X"),1,0)+IF(AND(INDIRECT("J"&amp;(T259+70))="X",INDIRECT("J"&amp;(U259+70))="X",INDIRECT("J"&amp;(V259+70))="X"),1,0)+IF(AND(INDIRECT("K"&amp;(T259+70))="X",INDIRECT("K"&amp;(U259+70))="X",INDIRECT("K"&amp;(V259+70))="X"),1,0)+IF(AND(INDIRECT("L"&amp;(T259+70))="X",INDIRECT("L"&amp;(U259+70))="X",INDIRECT("L"&amp;(V259+70))="X"),1,0)+IF(AND(INDIRECT("M"&amp;(T259+70))="X",INDIRECT("M"&amp;(U259+70))="X",INDIRECT("M"&amp;(V259+70))="X"),1,0)+IF(AND(INDIRECT("N"&amp;(T259+70))="X",INDIRECT("N"&amp;(U259+70))="X",INDIRECT("N"&amp;(V259+70))="X"),1,0)+IF(AND(INDIRECT("O"&amp;(T259+70))="X",INDIRECT("O"&amp;(U259+70))="X",INDIRECT("O"&amp;(V259+70))="X"),1,0)+IF(AND(INDIRECT("P"&amp;(T259+70))="X",INDIRECT("P"&amp;(U259+70))="X",INDIRECT("P"&amp;(V259+70))="X"),1,0)+IF(AND(INDIRECT("Q"&amp;(T259+70))="X",INDIRECT("Q"&amp;(U259+70))="X",INDIRECT("Q"&amp;(V259+70))="X"),1,0)</f>
        <v>2</v>
      </c>
    </row>
    <row r="260" spans="20:23" x14ac:dyDescent="0.3">
      <c r="T260">
        <v>4</v>
      </c>
      <c r="U260">
        <v>5</v>
      </c>
      <c r="V260">
        <v>12</v>
      </c>
      <c r="W260" cm="1">
        <f t="array" aca="1" ref="W260" ca="1">IF(AND(INDIRECT("B"&amp;(T260+70))="X",INDIRECT("B"&amp;(U260+70))="X",INDIRECT("B"&amp;(V260+70))="X"),1,0)+IF(AND(INDIRECT("C"&amp;(T260+70))="X",INDIRECT("C"&amp;(U260+70))="X",INDIRECT("C"&amp;(V260+70))="X"),1,0)+IF(AND(INDIRECT("D"&amp;(T260+70))="X",INDIRECT("D"&amp;(U260+70))="X",INDIRECT("D"&amp;(V260+70))="X"),1,0)+IF(AND(INDIRECT("E"&amp;(T260+70))="X",INDIRECT("E"&amp;(U260+70))="X",INDIRECT("E"&amp;(V260+70))="X"),1,0)+IF(AND(INDIRECT("F"&amp;(T260+70))="X",INDIRECT("F"&amp;(U260+70))="X",INDIRECT("F"&amp;(V260+70))="X"),1,0)+IF(AND(INDIRECT("G"&amp;(T260+70))="X",INDIRECT("G"&amp;(U260+70))="X",INDIRECT("G"&amp;(V260+70))="X"),1,0)+IF(AND(INDIRECT("H"&amp;(T260+70))="X",INDIRECT("H"&amp;(U260+70))="X",INDIRECT("H"&amp;(V260+70))="X"),1,0)+IF(AND(INDIRECT("I"&amp;(T260+70))="X",INDIRECT("I"&amp;(U260+70))="X",INDIRECT("I"&amp;(V260+70))="X"),1,0)+IF(AND(INDIRECT("J"&amp;(T260+70))="X",INDIRECT("J"&amp;(U260+70))="X",INDIRECT("J"&amp;(V260+70))="X"),1,0)+IF(AND(INDIRECT("K"&amp;(T260+70))="X",INDIRECT("K"&amp;(U260+70))="X",INDIRECT("K"&amp;(V260+70))="X"),1,0)+IF(AND(INDIRECT("L"&amp;(T260+70))="X",INDIRECT("L"&amp;(U260+70))="X",INDIRECT("L"&amp;(V260+70))="X"),1,0)+IF(AND(INDIRECT("M"&amp;(T260+70))="X",INDIRECT("M"&amp;(U260+70))="X",INDIRECT("M"&amp;(V260+70))="X"),1,0)+IF(AND(INDIRECT("N"&amp;(T260+70))="X",INDIRECT("N"&amp;(U260+70))="X",INDIRECT("N"&amp;(V260+70))="X"),1,0)+IF(AND(INDIRECT("O"&amp;(T260+70))="X",INDIRECT("O"&amp;(U260+70))="X",INDIRECT("O"&amp;(V260+70))="X"),1,0)+IF(AND(INDIRECT("P"&amp;(T260+70))="X",INDIRECT("P"&amp;(U260+70))="X",INDIRECT("P"&amp;(V260+70))="X"),1,0)+IF(AND(INDIRECT("Q"&amp;(T260+70))="X",INDIRECT("Q"&amp;(U260+70))="X",INDIRECT("Q"&amp;(V260+70))="X"),1,0)</f>
        <v>2</v>
      </c>
    </row>
    <row r="261" spans="20:23" x14ac:dyDescent="0.3">
      <c r="T261">
        <v>4</v>
      </c>
      <c r="U261">
        <v>5</v>
      </c>
      <c r="V261">
        <v>13</v>
      </c>
      <c r="W261" cm="1">
        <f t="array" aca="1" ref="W261" ca="1">IF(AND(INDIRECT("B"&amp;(T261+70))="X",INDIRECT("B"&amp;(U261+70))="X",INDIRECT("B"&amp;(V261+70))="X"),1,0)+IF(AND(INDIRECT("C"&amp;(T261+70))="X",INDIRECT("C"&amp;(U261+70))="X",INDIRECT("C"&amp;(V261+70))="X"),1,0)+IF(AND(INDIRECT("D"&amp;(T261+70))="X",INDIRECT("D"&amp;(U261+70))="X",INDIRECT("D"&amp;(V261+70))="X"),1,0)+IF(AND(INDIRECT("E"&amp;(T261+70))="X",INDIRECT("E"&amp;(U261+70))="X",INDIRECT("E"&amp;(V261+70))="X"),1,0)+IF(AND(INDIRECT("F"&amp;(T261+70))="X",INDIRECT("F"&amp;(U261+70))="X",INDIRECT("F"&amp;(V261+70))="X"),1,0)+IF(AND(INDIRECT("G"&amp;(T261+70))="X",INDIRECT("G"&amp;(U261+70))="X",INDIRECT("G"&amp;(V261+70))="X"),1,0)+IF(AND(INDIRECT("H"&amp;(T261+70))="X",INDIRECT("H"&amp;(U261+70))="X",INDIRECT("H"&amp;(V261+70))="X"),1,0)+IF(AND(INDIRECT("I"&amp;(T261+70))="X",INDIRECT("I"&amp;(U261+70))="X",INDIRECT("I"&amp;(V261+70))="X"),1,0)+IF(AND(INDIRECT("J"&amp;(T261+70))="X",INDIRECT("J"&amp;(U261+70))="X",INDIRECT("J"&amp;(V261+70))="X"),1,0)+IF(AND(INDIRECT("K"&amp;(T261+70))="X",INDIRECT("K"&amp;(U261+70))="X",INDIRECT("K"&amp;(V261+70))="X"),1,0)+IF(AND(INDIRECT("L"&amp;(T261+70))="X",INDIRECT("L"&amp;(U261+70))="X",INDIRECT("L"&amp;(V261+70))="X"),1,0)+IF(AND(INDIRECT("M"&amp;(T261+70))="X",INDIRECT("M"&amp;(U261+70))="X",INDIRECT("M"&amp;(V261+70))="X"),1,0)+IF(AND(INDIRECT("N"&amp;(T261+70))="X",INDIRECT("N"&amp;(U261+70))="X",INDIRECT("N"&amp;(V261+70))="X"),1,0)+IF(AND(INDIRECT("O"&amp;(T261+70))="X",INDIRECT("O"&amp;(U261+70))="X",INDIRECT("O"&amp;(V261+70))="X"),1,0)+IF(AND(INDIRECT("P"&amp;(T261+70))="X",INDIRECT("P"&amp;(U261+70))="X",INDIRECT("P"&amp;(V261+70))="X"),1,0)+IF(AND(INDIRECT("Q"&amp;(T261+70))="X",INDIRECT("Q"&amp;(U261+70))="X",INDIRECT("Q"&amp;(V261+70))="X"),1,0)</f>
        <v>1</v>
      </c>
    </row>
    <row r="262" spans="20:23" x14ac:dyDescent="0.3">
      <c r="T262">
        <v>4</v>
      </c>
      <c r="U262">
        <v>5</v>
      </c>
      <c r="V262">
        <v>14</v>
      </c>
      <c r="W262" cm="1">
        <f t="array" aca="1" ref="W262" ca="1">IF(AND(INDIRECT("B"&amp;(T262+70))="X",INDIRECT("B"&amp;(U262+70))="X",INDIRECT("B"&amp;(V262+70))="X"),1,0)+IF(AND(INDIRECT("C"&amp;(T262+70))="X",INDIRECT("C"&amp;(U262+70))="X",INDIRECT("C"&amp;(V262+70))="X"),1,0)+IF(AND(INDIRECT("D"&amp;(T262+70))="X",INDIRECT("D"&amp;(U262+70))="X",INDIRECT("D"&amp;(V262+70))="X"),1,0)+IF(AND(INDIRECT("E"&amp;(T262+70))="X",INDIRECT("E"&amp;(U262+70))="X",INDIRECT("E"&amp;(V262+70))="X"),1,0)+IF(AND(INDIRECT("F"&amp;(T262+70))="X",INDIRECT("F"&amp;(U262+70))="X",INDIRECT("F"&amp;(V262+70))="X"),1,0)+IF(AND(INDIRECT("G"&amp;(T262+70))="X",INDIRECT("G"&amp;(U262+70))="X",INDIRECT("G"&amp;(V262+70))="X"),1,0)+IF(AND(INDIRECT("H"&amp;(T262+70))="X",INDIRECT("H"&amp;(U262+70))="X",INDIRECT("H"&amp;(V262+70))="X"),1,0)+IF(AND(INDIRECT("I"&amp;(T262+70))="X",INDIRECT("I"&amp;(U262+70))="X",INDIRECT("I"&amp;(V262+70))="X"),1,0)+IF(AND(INDIRECT("J"&amp;(T262+70))="X",INDIRECT("J"&amp;(U262+70))="X",INDIRECT("J"&amp;(V262+70))="X"),1,0)+IF(AND(INDIRECT("K"&amp;(T262+70))="X",INDIRECT("K"&amp;(U262+70))="X",INDIRECT("K"&amp;(V262+70))="X"),1,0)+IF(AND(INDIRECT("L"&amp;(T262+70))="X",INDIRECT("L"&amp;(U262+70))="X",INDIRECT("L"&amp;(V262+70))="X"),1,0)+IF(AND(INDIRECT("M"&amp;(T262+70))="X",INDIRECT("M"&amp;(U262+70))="X",INDIRECT("M"&amp;(V262+70))="X"),1,0)+IF(AND(INDIRECT("N"&amp;(T262+70))="X",INDIRECT("N"&amp;(U262+70))="X",INDIRECT("N"&amp;(V262+70))="X"),1,0)+IF(AND(INDIRECT("O"&amp;(T262+70))="X",INDIRECT("O"&amp;(U262+70))="X",INDIRECT("O"&amp;(V262+70))="X"),1,0)+IF(AND(INDIRECT("P"&amp;(T262+70))="X",INDIRECT("P"&amp;(U262+70))="X",INDIRECT("P"&amp;(V262+70))="X"),1,0)+IF(AND(INDIRECT("Q"&amp;(T262+70))="X",INDIRECT("Q"&amp;(U262+70))="X",INDIRECT("Q"&amp;(V262+70))="X"),1,0)</f>
        <v>1</v>
      </c>
    </row>
    <row r="263" spans="20:23" x14ac:dyDescent="0.3">
      <c r="T263">
        <v>4</v>
      </c>
      <c r="U263">
        <v>6</v>
      </c>
      <c r="V263">
        <v>7</v>
      </c>
      <c r="W263" cm="1">
        <f t="array" aca="1" ref="W263" ca="1">IF(AND(INDIRECT("B"&amp;(T263+70))="X",INDIRECT("B"&amp;(U263+70))="X",INDIRECT("B"&amp;(V263+70))="X"),1,0)+IF(AND(INDIRECT("C"&amp;(T263+70))="X",INDIRECT("C"&amp;(U263+70))="X",INDIRECT("C"&amp;(V263+70))="X"),1,0)+IF(AND(INDIRECT("D"&amp;(T263+70))="X",INDIRECT("D"&amp;(U263+70))="X",INDIRECT("D"&amp;(V263+70))="X"),1,0)+IF(AND(INDIRECT("E"&amp;(T263+70))="X",INDIRECT("E"&amp;(U263+70))="X",INDIRECT("E"&amp;(V263+70))="X"),1,0)+IF(AND(INDIRECT("F"&amp;(T263+70))="X",INDIRECT("F"&amp;(U263+70))="X",INDIRECT("F"&amp;(V263+70))="X"),1,0)+IF(AND(INDIRECT("G"&amp;(T263+70))="X",INDIRECT("G"&amp;(U263+70))="X",INDIRECT("G"&amp;(V263+70))="X"),1,0)+IF(AND(INDIRECT("H"&amp;(T263+70))="X",INDIRECT("H"&amp;(U263+70))="X",INDIRECT("H"&amp;(V263+70))="X"),1,0)+IF(AND(INDIRECT("I"&amp;(T263+70))="X",INDIRECT("I"&amp;(U263+70))="X",INDIRECT("I"&amp;(V263+70))="X"),1,0)+IF(AND(INDIRECT("J"&amp;(T263+70))="X",INDIRECT("J"&amp;(U263+70))="X",INDIRECT("J"&amp;(V263+70))="X"),1,0)+IF(AND(INDIRECT("K"&amp;(T263+70))="X",INDIRECT("K"&amp;(U263+70))="X",INDIRECT("K"&amp;(V263+70))="X"),1,0)+IF(AND(INDIRECT("L"&amp;(T263+70))="X",INDIRECT("L"&amp;(U263+70))="X",INDIRECT("L"&amp;(V263+70))="X"),1,0)+IF(AND(INDIRECT("M"&amp;(T263+70))="X",INDIRECT("M"&amp;(U263+70))="X",INDIRECT("M"&amp;(V263+70))="X"),1,0)+IF(AND(INDIRECT("N"&amp;(T263+70))="X",INDIRECT("N"&amp;(U263+70))="X",INDIRECT("N"&amp;(V263+70))="X"),1,0)+IF(AND(INDIRECT("O"&amp;(T263+70))="X",INDIRECT("O"&amp;(U263+70))="X",INDIRECT("O"&amp;(V263+70))="X"),1,0)+IF(AND(INDIRECT("P"&amp;(T263+70))="X",INDIRECT("P"&amp;(U263+70))="X",INDIRECT("P"&amp;(V263+70))="X"),1,0)+IF(AND(INDIRECT("Q"&amp;(T263+70))="X",INDIRECT("Q"&amp;(U263+70))="X",INDIRECT("Q"&amp;(V263+70))="X"),1,0)</f>
        <v>0</v>
      </c>
    </row>
    <row r="264" spans="20:23" x14ac:dyDescent="0.3">
      <c r="T264">
        <v>4</v>
      </c>
      <c r="U264">
        <v>6</v>
      </c>
      <c r="V264">
        <v>8</v>
      </c>
      <c r="W264" cm="1">
        <f t="array" aca="1" ref="W264" ca="1">IF(AND(INDIRECT("B"&amp;(T264+70))="X",INDIRECT("B"&amp;(U264+70))="X",INDIRECT("B"&amp;(V264+70))="X"),1,0)+IF(AND(INDIRECT("C"&amp;(T264+70))="X",INDIRECT("C"&amp;(U264+70))="X",INDIRECT("C"&amp;(V264+70))="X"),1,0)+IF(AND(INDIRECT("D"&amp;(T264+70))="X",INDIRECT("D"&amp;(U264+70))="X",INDIRECT("D"&amp;(V264+70))="X"),1,0)+IF(AND(INDIRECT("E"&amp;(T264+70))="X",INDIRECT("E"&amp;(U264+70))="X",INDIRECT("E"&amp;(V264+70))="X"),1,0)+IF(AND(INDIRECT("F"&amp;(T264+70))="X",INDIRECT("F"&amp;(U264+70))="X",INDIRECT("F"&amp;(V264+70))="X"),1,0)+IF(AND(INDIRECT("G"&amp;(T264+70))="X",INDIRECT("G"&amp;(U264+70))="X",INDIRECT("G"&amp;(V264+70))="X"),1,0)+IF(AND(INDIRECT("H"&amp;(T264+70))="X",INDIRECT("H"&amp;(U264+70))="X",INDIRECT("H"&amp;(V264+70))="X"),1,0)+IF(AND(INDIRECT("I"&amp;(T264+70))="X",INDIRECT("I"&amp;(U264+70))="X",INDIRECT("I"&amp;(V264+70))="X"),1,0)+IF(AND(INDIRECT("J"&amp;(T264+70))="X",INDIRECT("J"&amp;(U264+70))="X",INDIRECT("J"&amp;(V264+70))="X"),1,0)+IF(AND(INDIRECT("K"&amp;(T264+70))="X",INDIRECT("K"&amp;(U264+70))="X",INDIRECT("K"&amp;(V264+70))="X"),1,0)+IF(AND(INDIRECT("L"&amp;(T264+70))="X",INDIRECT("L"&amp;(U264+70))="X",INDIRECT("L"&amp;(V264+70))="X"),1,0)+IF(AND(INDIRECT("M"&amp;(T264+70))="X",INDIRECT("M"&amp;(U264+70))="X",INDIRECT("M"&amp;(V264+70))="X"),1,0)+IF(AND(INDIRECT("N"&amp;(T264+70))="X",INDIRECT("N"&amp;(U264+70))="X",INDIRECT("N"&amp;(V264+70))="X"),1,0)+IF(AND(INDIRECT("O"&amp;(T264+70))="X",INDIRECT("O"&amp;(U264+70))="X",INDIRECT("O"&amp;(V264+70))="X"),1,0)+IF(AND(INDIRECT("P"&amp;(T264+70))="X",INDIRECT("P"&amp;(U264+70))="X",INDIRECT("P"&amp;(V264+70))="X"),1,0)+IF(AND(INDIRECT("Q"&amp;(T264+70))="X",INDIRECT("Q"&amp;(U264+70))="X",INDIRECT("Q"&amp;(V264+70))="X"),1,0)</f>
        <v>1</v>
      </c>
    </row>
    <row r="265" spans="20:23" x14ac:dyDescent="0.3">
      <c r="T265">
        <v>4</v>
      </c>
      <c r="U265">
        <v>6</v>
      </c>
      <c r="V265">
        <v>9</v>
      </c>
      <c r="W265" cm="1">
        <f t="array" aca="1" ref="W265" ca="1">IF(AND(INDIRECT("B"&amp;(T265+70))="X",INDIRECT("B"&amp;(U265+70))="X",INDIRECT("B"&amp;(V265+70))="X"),1,0)+IF(AND(INDIRECT("C"&amp;(T265+70))="X",INDIRECT("C"&amp;(U265+70))="X",INDIRECT("C"&amp;(V265+70))="X"),1,0)+IF(AND(INDIRECT("D"&amp;(T265+70))="X",INDIRECT("D"&amp;(U265+70))="X",INDIRECT("D"&amp;(V265+70))="X"),1,0)+IF(AND(INDIRECT("E"&amp;(T265+70))="X",INDIRECT("E"&amp;(U265+70))="X",INDIRECT("E"&amp;(V265+70))="X"),1,0)+IF(AND(INDIRECT("F"&amp;(T265+70))="X",INDIRECT("F"&amp;(U265+70))="X",INDIRECT("F"&amp;(V265+70))="X"),1,0)+IF(AND(INDIRECT("G"&amp;(T265+70))="X",INDIRECT("G"&amp;(U265+70))="X",INDIRECT("G"&amp;(V265+70))="X"),1,0)+IF(AND(INDIRECT("H"&amp;(T265+70))="X",INDIRECT("H"&amp;(U265+70))="X",INDIRECT("H"&amp;(V265+70))="X"),1,0)+IF(AND(INDIRECT("I"&amp;(T265+70))="X",INDIRECT("I"&amp;(U265+70))="X",INDIRECT("I"&amp;(V265+70))="X"),1,0)+IF(AND(INDIRECT("J"&amp;(T265+70))="X",INDIRECT("J"&amp;(U265+70))="X",INDIRECT("J"&amp;(V265+70))="X"),1,0)+IF(AND(INDIRECT("K"&amp;(T265+70))="X",INDIRECT("K"&amp;(U265+70))="X",INDIRECT("K"&amp;(V265+70))="X"),1,0)+IF(AND(INDIRECT("L"&amp;(T265+70))="X",INDIRECT("L"&amp;(U265+70))="X",INDIRECT("L"&amp;(V265+70))="X"),1,0)+IF(AND(INDIRECT("M"&amp;(T265+70))="X",INDIRECT("M"&amp;(U265+70))="X",INDIRECT("M"&amp;(V265+70))="X"),1,0)+IF(AND(INDIRECT("N"&amp;(T265+70))="X",INDIRECT("N"&amp;(U265+70))="X",INDIRECT("N"&amp;(V265+70))="X"),1,0)+IF(AND(INDIRECT("O"&amp;(T265+70))="X",INDIRECT("O"&amp;(U265+70))="X",INDIRECT("O"&amp;(V265+70))="X"),1,0)+IF(AND(INDIRECT("P"&amp;(T265+70))="X",INDIRECT("P"&amp;(U265+70))="X",INDIRECT("P"&amp;(V265+70))="X"),1,0)+IF(AND(INDIRECT("Q"&amp;(T265+70))="X",INDIRECT("Q"&amp;(U265+70))="X",INDIRECT("Q"&amp;(V265+70))="X"),1,0)</f>
        <v>0</v>
      </c>
    </row>
    <row r="266" spans="20:23" x14ac:dyDescent="0.3">
      <c r="T266">
        <v>4</v>
      </c>
      <c r="U266">
        <v>6</v>
      </c>
      <c r="V266">
        <v>10</v>
      </c>
      <c r="W266" cm="1">
        <f t="array" aca="1" ref="W266" ca="1">IF(AND(INDIRECT("B"&amp;(T266+70))="X",INDIRECT("B"&amp;(U266+70))="X",INDIRECT("B"&amp;(V266+70))="X"),1,0)+IF(AND(INDIRECT("C"&amp;(T266+70))="X",INDIRECT("C"&amp;(U266+70))="X",INDIRECT("C"&amp;(V266+70))="X"),1,0)+IF(AND(INDIRECT("D"&amp;(T266+70))="X",INDIRECT("D"&amp;(U266+70))="X",INDIRECT("D"&amp;(V266+70))="X"),1,0)+IF(AND(INDIRECT("E"&amp;(T266+70))="X",INDIRECT("E"&amp;(U266+70))="X",INDIRECT("E"&amp;(V266+70))="X"),1,0)+IF(AND(INDIRECT("F"&amp;(T266+70))="X",INDIRECT("F"&amp;(U266+70))="X",INDIRECT("F"&amp;(V266+70))="X"),1,0)+IF(AND(INDIRECT("G"&amp;(T266+70))="X",INDIRECT("G"&amp;(U266+70))="X",INDIRECT("G"&amp;(V266+70))="X"),1,0)+IF(AND(INDIRECT("H"&amp;(T266+70))="X",INDIRECT("H"&amp;(U266+70))="X",INDIRECT("H"&amp;(V266+70))="X"),1,0)+IF(AND(INDIRECT("I"&amp;(T266+70))="X",INDIRECT("I"&amp;(U266+70))="X",INDIRECT("I"&amp;(V266+70))="X"),1,0)+IF(AND(INDIRECT("J"&amp;(T266+70))="X",INDIRECT("J"&amp;(U266+70))="X",INDIRECT("J"&amp;(V266+70))="X"),1,0)+IF(AND(INDIRECT("K"&amp;(T266+70))="X",INDIRECT("K"&amp;(U266+70))="X",INDIRECT("K"&amp;(V266+70))="X"),1,0)+IF(AND(INDIRECT("L"&amp;(T266+70))="X",INDIRECT("L"&amp;(U266+70))="X",INDIRECT("L"&amp;(V266+70))="X"),1,0)+IF(AND(INDIRECT("M"&amp;(T266+70))="X",INDIRECT("M"&amp;(U266+70))="X",INDIRECT("M"&amp;(V266+70))="X"),1,0)+IF(AND(INDIRECT("N"&amp;(T266+70))="X",INDIRECT("N"&amp;(U266+70))="X",INDIRECT("N"&amp;(V266+70))="X"),1,0)+IF(AND(INDIRECT("O"&amp;(T266+70))="X",INDIRECT("O"&amp;(U266+70))="X",INDIRECT("O"&amp;(V266+70))="X"),1,0)+IF(AND(INDIRECT("P"&amp;(T266+70))="X",INDIRECT("P"&amp;(U266+70))="X",INDIRECT("P"&amp;(V266+70))="X"),1,0)+IF(AND(INDIRECT("Q"&amp;(T266+70))="X",INDIRECT("Q"&amp;(U266+70))="X",INDIRECT("Q"&amp;(V266+70))="X"),1,0)</f>
        <v>1</v>
      </c>
    </row>
    <row r="267" spans="20:23" x14ac:dyDescent="0.3">
      <c r="T267">
        <v>4</v>
      </c>
      <c r="U267">
        <v>6</v>
      </c>
      <c r="V267">
        <v>11</v>
      </c>
      <c r="W267" cm="1">
        <f t="array" aca="1" ref="W267" ca="1">IF(AND(INDIRECT("B"&amp;(T267+70))="X",INDIRECT("B"&amp;(U267+70))="X",INDIRECT("B"&amp;(V267+70))="X"),1,0)+IF(AND(INDIRECT("C"&amp;(T267+70))="X",INDIRECT("C"&amp;(U267+70))="X",INDIRECT("C"&amp;(V267+70))="X"),1,0)+IF(AND(INDIRECT("D"&amp;(T267+70))="X",INDIRECT("D"&amp;(U267+70))="X",INDIRECT("D"&amp;(V267+70))="X"),1,0)+IF(AND(INDIRECT("E"&amp;(T267+70))="X",INDIRECT("E"&amp;(U267+70))="X",INDIRECT("E"&amp;(V267+70))="X"),1,0)+IF(AND(INDIRECT("F"&amp;(T267+70))="X",INDIRECT("F"&amp;(U267+70))="X",INDIRECT("F"&amp;(V267+70))="X"),1,0)+IF(AND(INDIRECT("G"&amp;(T267+70))="X",INDIRECT("G"&amp;(U267+70))="X",INDIRECT("G"&amp;(V267+70))="X"),1,0)+IF(AND(INDIRECT("H"&amp;(T267+70))="X",INDIRECT("H"&amp;(U267+70))="X",INDIRECT("H"&amp;(V267+70))="X"),1,0)+IF(AND(INDIRECT("I"&amp;(T267+70))="X",INDIRECT("I"&amp;(U267+70))="X",INDIRECT("I"&amp;(V267+70))="X"),1,0)+IF(AND(INDIRECT("J"&amp;(T267+70))="X",INDIRECT("J"&amp;(U267+70))="X",INDIRECT("J"&amp;(V267+70))="X"),1,0)+IF(AND(INDIRECT("K"&amp;(T267+70))="X",INDIRECT("K"&amp;(U267+70))="X",INDIRECT("K"&amp;(V267+70))="X"),1,0)+IF(AND(INDIRECT("L"&amp;(T267+70))="X",INDIRECT("L"&amp;(U267+70))="X",INDIRECT("L"&amp;(V267+70))="X"),1,0)+IF(AND(INDIRECT("M"&amp;(T267+70))="X",INDIRECT("M"&amp;(U267+70))="X",INDIRECT("M"&amp;(V267+70))="X"),1,0)+IF(AND(INDIRECT("N"&amp;(T267+70))="X",INDIRECT("N"&amp;(U267+70))="X",INDIRECT("N"&amp;(V267+70))="X"),1,0)+IF(AND(INDIRECT("O"&amp;(T267+70))="X",INDIRECT("O"&amp;(U267+70))="X",INDIRECT("O"&amp;(V267+70))="X"),1,0)+IF(AND(INDIRECT("P"&amp;(T267+70))="X",INDIRECT("P"&amp;(U267+70))="X",INDIRECT("P"&amp;(V267+70))="X"),1,0)+IF(AND(INDIRECT("Q"&amp;(T267+70))="X",INDIRECT("Q"&amp;(U267+70))="X",INDIRECT("Q"&amp;(V267+70))="X"),1,0)</f>
        <v>1</v>
      </c>
    </row>
    <row r="268" spans="20:23" x14ac:dyDescent="0.3">
      <c r="T268">
        <v>4</v>
      </c>
      <c r="U268">
        <v>6</v>
      </c>
      <c r="V268">
        <v>12</v>
      </c>
      <c r="W268" cm="1">
        <f t="array" aca="1" ref="W268" ca="1">IF(AND(INDIRECT("B"&amp;(T268+70))="X",INDIRECT("B"&amp;(U268+70))="X",INDIRECT("B"&amp;(V268+70))="X"),1,0)+IF(AND(INDIRECT("C"&amp;(T268+70))="X",INDIRECT("C"&amp;(U268+70))="X",INDIRECT("C"&amp;(V268+70))="X"),1,0)+IF(AND(INDIRECT("D"&amp;(T268+70))="X",INDIRECT("D"&amp;(U268+70))="X",INDIRECT("D"&amp;(V268+70))="X"),1,0)+IF(AND(INDIRECT("E"&amp;(T268+70))="X",INDIRECT("E"&amp;(U268+70))="X",INDIRECT("E"&amp;(V268+70))="X"),1,0)+IF(AND(INDIRECT("F"&amp;(T268+70))="X",INDIRECT("F"&amp;(U268+70))="X",INDIRECT("F"&amp;(V268+70))="X"),1,0)+IF(AND(INDIRECT("G"&amp;(T268+70))="X",INDIRECT("G"&amp;(U268+70))="X",INDIRECT("G"&amp;(V268+70))="X"),1,0)+IF(AND(INDIRECT("H"&amp;(T268+70))="X",INDIRECT("H"&amp;(U268+70))="X",INDIRECT("H"&amp;(V268+70))="X"),1,0)+IF(AND(INDIRECT("I"&amp;(T268+70))="X",INDIRECT("I"&amp;(U268+70))="X",INDIRECT("I"&amp;(V268+70))="X"),1,0)+IF(AND(INDIRECT("J"&amp;(T268+70))="X",INDIRECT("J"&amp;(U268+70))="X",INDIRECT("J"&amp;(V268+70))="X"),1,0)+IF(AND(INDIRECT("K"&amp;(T268+70))="X",INDIRECT("K"&amp;(U268+70))="X",INDIRECT("K"&amp;(V268+70))="X"),1,0)+IF(AND(INDIRECT("L"&amp;(T268+70))="X",INDIRECT("L"&amp;(U268+70))="X",INDIRECT("L"&amp;(V268+70))="X"),1,0)+IF(AND(INDIRECT("M"&amp;(T268+70))="X",INDIRECT("M"&amp;(U268+70))="X",INDIRECT("M"&amp;(V268+70))="X"),1,0)+IF(AND(INDIRECT("N"&amp;(T268+70))="X",INDIRECT("N"&amp;(U268+70))="X",INDIRECT("N"&amp;(V268+70))="X"),1,0)+IF(AND(INDIRECT("O"&amp;(T268+70))="X",INDIRECT("O"&amp;(U268+70))="X",INDIRECT("O"&amp;(V268+70))="X"),1,0)+IF(AND(INDIRECT("P"&amp;(T268+70))="X",INDIRECT("P"&amp;(U268+70))="X",INDIRECT("P"&amp;(V268+70))="X"),1,0)+IF(AND(INDIRECT("Q"&amp;(T268+70))="X",INDIRECT("Q"&amp;(U268+70))="X",INDIRECT("Q"&amp;(V268+70))="X"),1,0)</f>
        <v>2</v>
      </c>
    </row>
    <row r="269" spans="20:23" x14ac:dyDescent="0.3">
      <c r="T269">
        <v>4</v>
      </c>
      <c r="U269">
        <v>6</v>
      </c>
      <c r="V269">
        <v>13</v>
      </c>
      <c r="W269" cm="1">
        <f t="array" aca="1" ref="W269" ca="1">IF(AND(INDIRECT("B"&amp;(T269+70))="X",INDIRECT("B"&amp;(U269+70))="X",INDIRECT("B"&amp;(V269+70))="X"),1,0)+IF(AND(INDIRECT("C"&amp;(T269+70))="X",INDIRECT("C"&amp;(U269+70))="X",INDIRECT("C"&amp;(V269+70))="X"),1,0)+IF(AND(INDIRECT("D"&amp;(T269+70))="X",INDIRECT("D"&amp;(U269+70))="X",INDIRECT("D"&amp;(V269+70))="X"),1,0)+IF(AND(INDIRECT("E"&amp;(T269+70))="X",INDIRECT("E"&amp;(U269+70))="X",INDIRECT("E"&amp;(V269+70))="X"),1,0)+IF(AND(INDIRECT("F"&amp;(T269+70))="X",INDIRECT("F"&amp;(U269+70))="X",INDIRECT("F"&amp;(V269+70))="X"),1,0)+IF(AND(INDIRECT("G"&amp;(T269+70))="X",INDIRECT("G"&amp;(U269+70))="X",INDIRECT("G"&amp;(V269+70))="X"),1,0)+IF(AND(INDIRECT("H"&amp;(T269+70))="X",INDIRECT("H"&amp;(U269+70))="X",INDIRECT("H"&amp;(V269+70))="X"),1,0)+IF(AND(INDIRECT("I"&amp;(T269+70))="X",INDIRECT("I"&amp;(U269+70))="X",INDIRECT("I"&amp;(V269+70))="X"),1,0)+IF(AND(INDIRECT("J"&amp;(T269+70))="X",INDIRECT("J"&amp;(U269+70))="X",INDIRECT("J"&amp;(V269+70))="X"),1,0)+IF(AND(INDIRECT("K"&amp;(T269+70))="X",INDIRECT("K"&amp;(U269+70))="X",INDIRECT("K"&amp;(V269+70))="X"),1,0)+IF(AND(INDIRECT("L"&amp;(T269+70))="X",INDIRECT("L"&amp;(U269+70))="X",INDIRECT("L"&amp;(V269+70))="X"),1,0)+IF(AND(INDIRECT("M"&amp;(T269+70))="X",INDIRECT("M"&amp;(U269+70))="X",INDIRECT("M"&amp;(V269+70))="X"),1,0)+IF(AND(INDIRECT("N"&amp;(T269+70))="X",INDIRECT("N"&amp;(U269+70))="X",INDIRECT("N"&amp;(V269+70))="X"),1,0)+IF(AND(INDIRECT("O"&amp;(T269+70))="X",INDIRECT("O"&amp;(U269+70))="X",INDIRECT("O"&amp;(V269+70))="X"),1,0)+IF(AND(INDIRECT("P"&amp;(T269+70))="X",INDIRECT("P"&amp;(U269+70))="X",INDIRECT("P"&amp;(V269+70))="X"),1,0)+IF(AND(INDIRECT("Q"&amp;(T269+70))="X",INDIRECT("Q"&amp;(U269+70))="X",INDIRECT("Q"&amp;(V269+70))="X"),1,0)</f>
        <v>0</v>
      </c>
    </row>
    <row r="270" spans="20:23" x14ac:dyDescent="0.3">
      <c r="T270">
        <v>4</v>
      </c>
      <c r="U270">
        <v>6</v>
      </c>
      <c r="V270">
        <v>14</v>
      </c>
      <c r="W270" cm="1">
        <f t="array" aca="1" ref="W270" ca="1">IF(AND(INDIRECT("B"&amp;(T270+70))="X",INDIRECT("B"&amp;(U270+70))="X",INDIRECT("B"&amp;(V270+70))="X"),1,0)+IF(AND(INDIRECT("C"&amp;(T270+70))="X",INDIRECT("C"&amp;(U270+70))="X",INDIRECT("C"&amp;(V270+70))="X"),1,0)+IF(AND(INDIRECT("D"&amp;(T270+70))="X",INDIRECT("D"&amp;(U270+70))="X",INDIRECT("D"&amp;(V270+70))="X"),1,0)+IF(AND(INDIRECT("E"&amp;(T270+70))="X",INDIRECT("E"&amp;(U270+70))="X",INDIRECT("E"&amp;(V270+70))="X"),1,0)+IF(AND(INDIRECT("F"&amp;(T270+70))="X",INDIRECT("F"&amp;(U270+70))="X",INDIRECT("F"&amp;(V270+70))="X"),1,0)+IF(AND(INDIRECT("G"&amp;(T270+70))="X",INDIRECT("G"&amp;(U270+70))="X",INDIRECT("G"&amp;(V270+70))="X"),1,0)+IF(AND(INDIRECT("H"&amp;(T270+70))="X",INDIRECT("H"&amp;(U270+70))="X",INDIRECT("H"&amp;(V270+70))="X"),1,0)+IF(AND(INDIRECT("I"&amp;(T270+70))="X",INDIRECT("I"&amp;(U270+70))="X",INDIRECT("I"&amp;(V270+70))="X"),1,0)+IF(AND(INDIRECT("J"&amp;(T270+70))="X",INDIRECT("J"&amp;(U270+70))="X",INDIRECT("J"&amp;(V270+70))="X"),1,0)+IF(AND(INDIRECT("K"&amp;(T270+70))="X",INDIRECT("K"&amp;(U270+70))="X",INDIRECT("K"&amp;(V270+70))="X"),1,0)+IF(AND(INDIRECT("L"&amp;(T270+70))="X",INDIRECT("L"&amp;(U270+70))="X",INDIRECT("L"&amp;(V270+70))="X"),1,0)+IF(AND(INDIRECT("M"&amp;(T270+70))="X",INDIRECT("M"&amp;(U270+70))="X",INDIRECT("M"&amp;(V270+70))="X"),1,0)+IF(AND(INDIRECT("N"&amp;(T270+70))="X",INDIRECT("N"&amp;(U270+70))="X",INDIRECT("N"&amp;(V270+70))="X"),1,0)+IF(AND(INDIRECT("O"&amp;(T270+70))="X",INDIRECT("O"&amp;(U270+70))="X",INDIRECT("O"&amp;(V270+70))="X"),1,0)+IF(AND(INDIRECT("P"&amp;(T270+70))="X",INDIRECT("P"&amp;(U270+70))="X",INDIRECT("P"&amp;(V270+70))="X"),1,0)+IF(AND(INDIRECT("Q"&amp;(T270+70))="X",INDIRECT("Q"&amp;(U270+70))="X",INDIRECT("Q"&amp;(V270+70))="X"),1,0)</f>
        <v>2</v>
      </c>
    </row>
    <row r="271" spans="20:23" x14ac:dyDescent="0.3">
      <c r="T271">
        <v>4</v>
      </c>
      <c r="U271">
        <v>7</v>
      </c>
      <c r="V271">
        <v>8</v>
      </c>
      <c r="W271" cm="1">
        <f t="array" aca="1" ref="W271" ca="1">IF(AND(INDIRECT("B"&amp;(T271+70))="X",INDIRECT("B"&amp;(U271+70))="X",INDIRECT("B"&amp;(V271+70))="X"),1,0)+IF(AND(INDIRECT("C"&amp;(T271+70))="X",INDIRECT("C"&amp;(U271+70))="X",INDIRECT("C"&amp;(V271+70))="X"),1,0)+IF(AND(INDIRECT("D"&amp;(T271+70))="X",INDIRECT("D"&amp;(U271+70))="X",INDIRECT("D"&amp;(V271+70))="X"),1,0)+IF(AND(INDIRECT("E"&amp;(T271+70))="X",INDIRECT("E"&amp;(U271+70))="X",INDIRECT("E"&amp;(V271+70))="X"),1,0)+IF(AND(INDIRECT("F"&amp;(T271+70))="X",INDIRECT("F"&amp;(U271+70))="X",INDIRECT("F"&amp;(V271+70))="X"),1,0)+IF(AND(INDIRECT("G"&amp;(T271+70))="X",INDIRECT("G"&amp;(U271+70))="X",INDIRECT("G"&amp;(V271+70))="X"),1,0)+IF(AND(INDIRECT("H"&amp;(T271+70))="X",INDIRECT("H"&amp;(U271+70))="X",INDIRECT("H"&amp;(V271+70))="X"),1,0)+IF(AND(INDIRECT("I"&amp;(T271+70))="X",INDIRECT("I"&amp;(U271+70))="X",INDIRECT("I"&amp;(V271+70))="X"),1,0)+IF(AND(INDIRECT("J"&amp;(T271+70))="X",INDIRECT("J"&amp;(U271+70))="X",INDIRECT("J"&amp;(V271+70))="X"),1,0)+IF(AND(INDIRECT("K"&amp;(T271+70))="X",INDIRECT("K"&amp;(U271+70))="X",INDIRECT("K"&amp;(V271+70))="X"),1,0)+IF(AND(INDIRECT("L"&amp;(T271+70))="X",INDIRECT("L"&amp;(U271+70))="X",INDIRECT("L"&amp;(V271+70))="X"),1,0)+IF(AND(INDIRECT("M"&amp;(T271+70))="X",INDIRECT("M"&amp;(U271+70))="X",INDIRECT("M"&amp;(V271+70))="X"),1,0)+IF(AND(INDIRECT("N"&amp;(T271+70))="X",INDIRECT("N"&amp;(U271+70))="X",INDIRECT("N"&amp;(V271+70))="X"),1,0)+IF(AND(INDIRECT("O"&amp;(T271+70))="X",INDIRECT("O"&amp;(U271+70))="X",INDIRECT("O"&amp;(V271+70))="X"),1,0)+IF(AND(INDIRECT("P"&amp;(T271+70))="X",INDIRECT("P"&amp;(U271+70))="X",INDIRECT("P"&amp;(V271+70))="X"),1,0)+IF(AND(INDIRECT("Q"&amp;(T271+70))="X",INDIRECT("Q"&amp;(U271+70))="X",INDIRECT("Q"&amp;(V271+70))="X"),1,0)</f>
        <v>3</v>
      </c>
    </row>
    <row r="272" spans="20:23" x14ac:dyDescent="0.3">
      <c r="T272">
        <v>4</v>
      </c>
      <c r="U272">
        <v>7</v>
      </c>
      <c r="V272">
        <v>9</v>
      </c>
      <c r="W272" cm="1">
        <f t="array" aca="1" ref="W272" ca="1">IF(AND(INDIRECT("B"&amp;(T272+70))="X",INDIRECT("B"&amp;(U272+70))="X",INDIRECT("B"&amp;(V272+70))="X"),1,0)+IF(AND(INDIRECT("C"&amp;(T272+70))="X",INDIRECT("C"&amp;(U272+70))="X",INDIRECT("C"&amp;(V272+70))="X"),1,0)+IF(AND(INDIRECT("D"&amp;(T272+70))="X",INDIRECT("D"&amp;(U272+70))="X",INDIRECT("D"&amp;(V272+70))="X"),1,0)+IF(AND(INDIRECT("E"&amp;(T272+70))="X",INDIRECT("E"&amp;(U272+70))="X",INDIRECT("E"&amp;(V272+70))="X"),1,0)+IF(AND(INDIRECT("F"&amp;(T272+70))="X",INDIRECT("F"&amp;(U272+70))="X",INDIRECT("F"&amp;(V272+70))="X"),1,0)+IF(AND(INDIRECT("G"&amp;(T272+70))="X",INDIRECT("G"&amp;(U272+70))="X",INDIRECT("G"&amp;(V272+70))="X"),1,0)+IF(AND(INDIRECT("H"&amp;(T272+70))="X",INDIRECT("H"&amp;(U272+70))="X",INDIRECT("H"&amp;(V272+70))="X"),1,0)+IF(AND(INDIRECT("I"&amp;(T272+70))="X",INDIRECT("I"&amp;(U272+70))="X",INDIRECT("I"&amp;(V272+70))="X"),1,0)+IF(AND(INDIRECT("J"&amp;(T272+70))="X",INDIRECT("J"&amp;(U272+70))="X",INDIRECT("J"&amp;(V272+70))="X"),1,0)+IF(AND(INDIRECT("K"&amp;(T272+70))="X",INDIRECT("K"&amp;(U272+70))="X",INDIRECT("K"&amp;(V272+70))="X"),1,0)+IF(AND(INDIRECT("L"&amp;(T272+70))="X",INDIRECT("L"&amp;(U272+70))="X",INDIRECT("L"&amp;(V272+70))="X"),1,0)+IF(AND(INDIRECT("M"&amp;(T272+70))="X",INDIRECT("M"&amp;(U272+70))="X",INDIRECT("M"&amp;(V272+70))="X"),1,0)+IF(AND(INDIRECT("N"&amp;(T272+70))="X",INDIRECT("N"&amp;(U272+70))="X",INDIRECT("N"&amp;(V272+70))="X"),1,0)+IF(AND(INDIRECT("O"&amp;(T272+70))="X",INDIRECT("O"&amp;(U272+70))="X",INDIRECT("O"&amp;(V272+70))="X"),1,0)+IF(AND(INDIRECT("P"&amp;(T272+70))="X",INDIRECT("P"&amp;(U272+70))="X",INDIRECT("P"&amp;(V272+70))="X"),1,0)+IF(AND(INDIRECT("Q"&amp;(T272+70))="X",INDIRECT("Q"&amp;(U272+70))="X",INDIRECT("Q"&amp;(V272+70))="X"),1,0)</f>
        <v>1</v>
      </c>
    </row>
    <row r="273" spans="20:23" x14ac:dyDescent="0.3">
      <c r="T273">
        <v>4</v>
      </c>
      <c r="U273">
        <v>7</v>
      </c>
      <c r="V273">
        <v>10</v>
      </c>
      <c r="W273" cm="1">
        <f t="array" aca="1" ref="W273" ca="1">IF(AND(INDIRECT("B"&amp;(T273+70))="X",INDIRECT("B"&amp;(U273+70))="X",INDIRECT("B"&amp;(V273+70))="X"),1,0)+IF(AND(INDIRECT("C"&amp;(T273+70))="X",INDIRECT("C"&amp;(U273+70))="X",INDIRECT("C"&amp;(V273+70))="X"),1,0)+IF(AND(INDIRECT("D"&amp;(T273+70))="X",INDIRECT("D"&amp;(U273+70))="X",INDIRECT("D"&amp;(V273+70))="X"),1,0)+IF(AND(INDIRECT("E"&amp;(T273+70))="X",INDIRECT("E"&amp;(U273+70))="X",INDIRECT("E"&amp;(V273+70))="X"),1,0)+IF(AND(INDIRECT("F"&amp;(T273+70))="X",INDIRECT("F"&amp;(U273+70))="X",INDIRECT("F"&amp;(V273+70))="X"),1,0)+IF(AND(INDIRECT("G"&amp;(T273+70))="X",INDIRECT("G"&amp;(U273+70))="X",INDIRECT("G"&amp;(V273+70))="X"),1,0)+IF(AND(INDIRECT("H"&amp;(T273+70))="X",INDIRECT("H"&amp;(U273+70))="X",INDIRECT("H"&amp;(V273+70))="X"),1,0)+IF(AND(INDIRECT("I"&amp;(T273+70))="X",INDIRECT("I"&amp;(U273+70))="X",INDIRECT("I"&amp;(V273+70))="X"),1,0)+IF(AND(INDIRECT("J"&amp;(T273+70))="X",INDIRECT("J"&amp;(U273+70))="X",INDIRECT("J"&amp;(V273+70))="X"),1,0)+IF(AND(INDIRECT("K"&amp;(T273+70))="X",INDIRECT("K"&amp;(U273+70))="X",INDIRECT("K"&amp;(V273+70))="X"),1,0)+IF(AND(INDIRECT("L"&amp;(T273+70))="X",INDIRECT("L"&amp;(U273+70))="X",INDIRECT("L"&amp;(V273+70))="X"),1,0)+IF(AND(INDIRECT("M"&amp;(T273+70))="X",INDIRECT("M"&amp;(U273+70))="X",INDIRECT("M"&amp;(V273+70))="X"),1,0)+IF(AND(INDIRECT("N"&amp;(T273+70))="X",INDIRECT("N"&amp;(U273+70))="X",INDIRECT("N"&amp;(V273+70))="X"),1,0)+IF(AND(INDIRECT("O"&amp;(T273+70))="X",INDIRECT("O"&amp;(U273+70))="X",INDIRECT("O"&amp;(V273+70))="X"),1,0)+IF(AND(INDIRECT("P"&amp;(T273+70))="X",INDIRECT("P"&amp;(U273+70))="X",INDIRECT("P"&amp;(V273+70))="X"),1,0)+IF(AND(INDIRECT("Q"&amp;(T273+70))="X",INDIRECT("Q"&amp;(U273+70))="X",INDIRECT("Q"&amp;(V273+70))="X"),1,0)</f>
        <v>0</v>
      </c>
    </row>
    <row r="274" spans="20:23" x14ac:dyDescent="0.3">
      <c r="T274">
        <v>4</v>
      </c>
      <c r="U274">
        <v>7</v>
      </c>
      <c r="V274">
        <v>11</v>
      </c>
      <c r="W274" cm="1">
        <f t="array" aca="1" ref="W274" ca="1">IF(AND(INDIRECT("B"&amp;(T274+70))="X",INDIRECT("B"&amp;(U274+70))="X",INDIRECT("B"&amp;(V274+70))="X"),1,0)+IF(AND(INDIRECT("C"&amp;(T274+70))="X",INDIRECT("C"&amp;(U274+70))="X",INDIRECT("C"&amp;(V274+70))="X"),1,0)+IF(AND(INDIRECT("D"&amp;(T274+70))="X",INDIRECT("D"&amp;(U274+70))="X",INDIRECT("D"&amp;(V274+70))="X"),1,0)+IF(AND(INDIRECT("E"&amp;(T274+70))="X",INDIRECT("E"&amp;(U274+70))="X",INDIRECT("E"&amp;(V274+70))="X"),1,0)+IF(AND(INDIRECT("F"&amp;(T274+70))="X",INDIRECT("F"&amp;(U274+70))="X",INDIRECT("F"&amp;(V274+70))="X"),1,0)+IF(AND(INDIRECT("G"&amp;(T274+70))="X",INDIRECT("G"&amp;(U274+70))="X",INDIRECT("G"&amp;(V274+70))="X"),1,0)+IF(AND(INDIRECT("H"&amp;(T274+70))="X",INDIRECT("H"&amp;(U274+70))="X",INDIRECT("H"&amp;(V274+70))="X"),1,0)+IF(AND(INDIRECT("I"&amp;(T274+70))="X",INDIRECT("I"&amp;(U274+70))="X",INDIRECT("I"&amp;(V274+70))="X"),1,0)+IF(AND(INDIRECT("J"&amp;(T274+70))="X",INDIRECT("J"&amp;(U274+70))="X",INDIRECT("J"&amp;(V274+70))="X"),1,0)+IF(AND(INDIRECT("K"&amp;(T274+70))="X",INDIRECT("K"&amp;(U274+70))="X",INDIRECT("K"&amp;(V274+70))="X"),1,0)+IF(AND(INDIRECT("L"&amp;(T274+70))="X",INDIRECT("L"&amp;(U274+70))="X",INDIRECT("L"&amp;(V274+70))="X"),1,0)+IF(AND(INDIRECT("M"&amp;(T274+70))="X",INDIRECT("M"&amp;(U274+70))="X",INDIRECT("M"&amp;(V274+70))="X"),1,0)+IF(AND(INDIRECT("N"&amp;(T274+70))="X",INDIRECT("N"&amp;(U274+70))="X",INDIRECT("N"&amp;(V274+70))="X"),1,0)+IF(AND(INDIRECT("O"&amp;(T274+70))="X",INDIRECT("O"&amp;(U274+70))="X",INDIRECT("O"&amp;(V274+70))="X"),1,0)+IF(AND(INDIRECT("P"&amp;(T274+70))="X",INDIRECT("P"&amp;(U274+70))="X",INDIRECT("P"&amp;(V274+70))="X"),1,0)+IF(AND(INDIRECT("Q"&amp;(T274+70))="X",INDIRECT("Q"&amp;(U274+70))="X",INDIRECT("Q"&amp;(V274+70))="X"),1,0)</f>
        <v>4</v>
      </c>
    </row>
    <row r="275" spans="20:23" x14ac:dyDescent="0.3">
      <c r="T275">
        <v>4</v>
      </c>
      <c r="U275">
        <v>7</v>
      </c>
      <c r="V275">
        <v>12</v>
      </c>
      <c r="W275" cm="1">
        <f t="array" aca="1" ref="W275" ca="1">IF(AND(INDIRECT("B"&amp;(T275+70))="X",INDIRECT("B"&amp;(U275+70))="X",INDIRECT("B"&amp;(V275+70))="X"),1,0)+IF(AND(INDIRECT("C"&amp;(T275+70))="X",INDIRECT("C"&amp;(U275+70))="X",INDIRECT("C"&amp;(V275+70))="X"),1,0)+IF(AND(INDIRECT("D"&amp;(T275+70))="X",INDIRECT("D"&amp;(U275+70))="X",INDIRECT("D"&amp;(V275+70))="X"),1,0)+IF(AND(INDIRECT("E"&amp;(T275+70))="X",INDIRECT("E"&amp;(U275+70))="X",INDIRECT("E"&amp;(V275+70))="X"),1,0)+IF(AND(INDIRECT("F"&amp;(T275+70))="X",INDIRECT("F"&amp;(U275+70))="X",INDIRECT("F"&amp;(V275+70))="X"),1,0)+IF(AND(INDIRECT("G"&amp;(T275+70))="X",INDIRECT("G"&amp;(U275+70))="X",INDIRECT("G"&amp;(V275+70))="X"),1,0)+IF(AND(INDIRECT("H"&amp;(T275+70))="X",INDIRECT("H"&amp;(U275+70))="X",INDIRECT("H"&amp;(V275+70))="X"),1,0)+IF(AND(INDIRECT("I"&amp;(T275+70))="X",INDIRECT("I"&amp;(U275+70))="X",INDIRECT("I"&amp;(V275+70))="X"),1,0)+IF(AND(INDIRECT("J"&amp;(T275+70))="X",INDIRECT("J"&amp;(U275+70))="X",INDIRECT("J"&amp;(V275+70))="X"),1,0)+IF(AND(INDIRECT("K"&amp;(T275+70))="X",INDIRECT("K"&amp;(U275+70))="X",INDIRECT("K"&amp;(V275+70))="X"),1,0)+IF(AND(INDIRECT("L"&amp;(T275+70))="X",INDIRECT("L"&amp;(U275+70))="X",INDIRECT("L"&amp;(V275+70))="X"),1,0)+IF(AND(INDIRECT("M"&amp;(T275+70))="X",INDIRECT("M"&amp;(U275+70))="X",INDIRECT("M"&amp;(V275+70))="X"),1,0)+IF(AND(INDIRECT("N"&amp;(T275+70))="X",INDIRECT("N"&amp;(U275+70))="X",INDIRECT("N"&amp;(V275+70))="X"),1,0)+IF(AND(INDIRECT("O"&amp;(T275+70))="X",INDIRECT("O"&amp;(U275+70))="X",INDIRECT("O"&amp;(V275+70))="X"),1,0)+IF(AND(INDIRECT("P"&amp;(T275+70))="X",INDIRECT("P"&amp;(U275+70))="X",INDIRECT("P"&amp;(V275+70))="X"),1,0)+IF(AND(INDIRECT("Q"&amp;(T275+70))="X",INDIRECT("Q"&amp;(U275+70))="X",INDIRECT("Q"&amp;(V275+70))="X"),1,0)</f>
        <v>3</v>
      </c>
    </row>
    <row r="276" spans="20:23" x14ac:dyDescent="0.3">
      <c r="T276">
        <v>4</v>
      </c>
      <c r="U276">
        <v>7</v>
      </c>
      <c r="V276">
        <v>13</v>
      </c>
      <c r="W276" cm="1">
        <f t="array" aca="1" ref="W276" ca="1">IF(AND(INDIRECT("B"&amp;(T276+70))="X",INDIRECT("B"&amp;(U276+70))="X",INDIRECT("B"&amp;(V276+70))="X"),1,0)+IF(AND(INDIRECT("C"&amp;(T276+70))="X",INDIRECT("C"&amp;(U276+70))="X",INDIRECT("C"&amp;(V276+70))="X"),1,0)+IF(AND(INDIRECT("D"&amp;(T276+70))="X",INDIRECT("D"&amp;(U276+70))="X",INDIRECT("D"&amp;(V276+70))="X"),1,0)+IF(AND(INDIRECT("E"&amp;(T276+70))="X",INDIRECT("E"&amp;(U276+70))="X",INDIRECT("E"&amp;(V276+70))="X"),1,0)+IF(AND(INDIRECT("F"&amp;(T276+70))="X",INDIRECT("F"&amp;(U276+70))="X",INDIRECT("F"&amp;(V276+70))="X"),1,0)+IF(AND(INDIRECT("G"&amp;(T276+70))="X",INDIRECT("G"&amp;(U276+70))="X",INDIRECT("G"&amp;(V276+70))="X"),1,0)+IF(AND(INDIRECT("H"&amp;(T276+70))="X",INDIRECT("H"&amp;(U276+70))="X",INDIRECT("H"&amp;(V276+70))="X"),1,0)+IF(AND(INDIRECT("I"&amp;(T276+70))="X",INDIRECT("I"&amp;(U276+70))="X",INDIRECT("I"&amp;(V276+70))="X"),1,0)+IF(AND(INDIRECT("J"&amp;(T276+70))="X",INDIRECT("J"&amp;(U276+70))="X",INDIRECT("J"&amp;(V276+70))="X"),1,0)+IF(AND(INDIRECT("K"&amp;(T276+70))="X",INDIRECT("K"&amp;(U276+70))="X",INDIRECT("K"&amp;(V276+70))="X"),1,0)+IF(AND(INDIRECT("L"&amp;(T276+70))="X",INDIRECT("L"&amp;(U276+70))="X",INDIRECT("L"&amp;(V276+70))="X"),1,0)+IF(AND(INDIRECT("M"&amp;(T276+70))="X",INDIRECT("M"&amp;(U276+70))="X",INDIRECT("M"&amp;(V276+70))="X"),1,0)+IF(AND(INDIRECT("N"&amp;(T276+70))="X",INDIRECT("N"&amp;(U276+70))="X",INDIRECT("N"&amp;(V276+70))="X"),1,0)+IF(AND(INDIRECT("O"&amp;(T276+70))="X",INDIRECT("O"&amp;(U276+70))="X",INDIRECT("O"&amp;(V276+70))="X"),1,0)+IF(AND(INDIRECT("P"&amp;(T276+70))="X",INDIRECT("P"&amp;(U276+70))="X",INDIRECT("P"&amp;(V276+70))="X"),1,0)+IF(AND(INDIRECT("Q"&amp;(T276+70))="X",INDIRECT("Q"&amp;(U276+70))="X",INDIRECT("Q"&amp;(V276+70))="X"),1,0)</f>
        <v>3</v>
      </c>
    </row>
    <row r="277" spans="20:23" x14ac:dyDescent="0.3">
      <c r="T277">
        <v>4</v>
      </c>
      <c r="U277">
        <v>7</v>
      </c>
      <c r="V277">
        <v>14</v>
      </c>
      <c r="W277" cm="1">
        <f t="array" aca="1" ref="W277" ca="1">IF(AND(INDIRECT("B"&amp;(T277+70))="X",INDIRECT("B"&amp;(U277+70))="X",INDIRECT("B"&amp;(V277+70))="X"),1,0)+IF(AND(INDIRECT("C"&amp;(T277+70))="X",INDIRECT("C"&amp;(U277+70))="X",INDIRECT("C"&amp;(V277+70))="X"),1,0)+IF(AND(INDIRECT("D"&amp;(T277+70))="X",INDIRECT("D"&amp;(U277+70))="X",INDIRECT("D"&amp;(V277+70))="X"),1,0)+IF(AND(INDIRECT("E"&amp;(T277+70))="X",INDIRECT("E"&amp;(U277+70))="X",INDIRECT("E"&amp;(V277+70))="X"),1,0)+IF(AND(INDIRECT("F"&amp;(T277+70))="X",INDIRECT("F"&amp;(U277+70))="X",INDIRECT("F"&amp;(V277+70))="X"),1,0)+IF(AND(INDIRECT("G"&amp;(T277+70))="X",INDIRECT("G"&amp;(U277+70))="X",INDIRECT("G"&amp;(V277+70))="X"),1,0)+IF(AND(INDIRECT("H"&amp;(T277+70))="X",INDIRECT("H"&amp;(U277+70))="X",INDIRECT("H"&amp;(V277+70))="X"),1,0)+IF(AND(INDIRECT("I"&amp;(T277+70))="X",INDIRECT("I"&amp;(U277+70))="X",INDIRECT("I"&amp;(V277+70))="X"),1,0)+IF(AND(INDIRECT("J"&amp;(T277+70))="X",INDIRECT("J"&amp;(U277+70))="X",INDIRECT("J"&amp;(V277+70))="X"),1,0)+IF(AND(INDIRECT("K"&amp;(T277+70))="X",INDIRECT("K"&amp;(U277+70))="X",INDIRECT("K"&amp;(V277+70))="X"),1,0)+IF(AND(INDIRECT("L"&amp;(T277+70))="X",INDIRECT("L"&amp;(U277+70))="X",INDIRECT("L"&amp;(V277+70))="X"),1,0)+IF(AND(INDIRECT("M"&amp;(T277+70))="X",INDIRECT("M"&amp;(U277+70))="X",INDIRECT("M"&amp;(V277+70))="X"),1,0)+IF(AND(INDIRECT("N"&amp;(T277+70))="X",INDIRECT("N"&amp;(U277+70))="X",INDIRECT("N"&amp;(V277+70))="X"),1,0)+IF(AND(INDIRECT("O"&amp;(T277+70))="X",INDIRECT("O"&amp;(U277+70))="X",INDIRECT("O"&amp;(V277+70))="X"),1,0)+IF(AND(INDIRECT("P"&amp;(T277+70))="X",INDIRECT("P"&amp;(U277+70))="X",INDIRECT("P"&amp;(V277+70))="X"),1,0)+IF(AND(INDIRECT("Q"&amp;(T277+70))="X",INDIRECT("Q"&amp;(U277+70))="X",INDIRECT("Q"&amp;(V277+70))="X"),1,0)</f>
        <v>1</v>
      </c>
    </row>
    <row r="278" spans="20:23" x14ac:dyDescent="0.3">
      <c r="T278">
        <v>4</v>
      </c>
      <c r="U278">
        <v>8</v>
      </c>
      <c r="V278">
        <v>9</v>
      </c>
      <c r="W278" cm="1">
        <f t="array" aca="1" ref="W278" ca="1">IF(AND(INDIRECT("B"&amp;(T278+70))="X",INDIRECT("B"&amp;(U278+70))="X",INDIRECT("B"&amp;(V278+70))="X"),1,0)+IF(AND(INDIRECT("C"&amp;(T278+70))="X",INDIRECT("C"&amp;(U278+70))="X",INDIRECT("C"&amp;(V278+70))="X"),1,0)+IF(AND(INDIRECT("D"&amp;(T278+70))="X",INDIRECT("D"&amp;(U278+70))="X",INDIRECT("D"&amp;(V278+70))="X"),1,0)+IF(AND(INDIRECT("E"&amp;(T278+70))="X",INDIRECT("E"&amp;(U278+70))="X",INDIRECT("E"&amp;(V278+70))="X"),1,0)+IF(AND(INDIRECT("F"&amp;(T278+70))="X",INDIRECT("F"&amp;(U278+70))="X",INDIRECT("F"&amp;(V278+70))="X"),1,0)+IF(AND(INDIRECT("G"&amp;(T278+70))="X",INDIRECT("G"&amp;(U278+70))="X",INDIRECT("G"&amp;(V278+70))="X"),1,0)+IF(AND(INDIRECT("H"&amp;(T278+70))="X",INDIRECT("H"&amp;(U278+70))="X",INDIRECT("H"&amp;(V278+70))="X"),1,0)+IF(AND(INDIRECT("I"&amp;(T278+70))="X",INDIRECT("I"&amp;(U278+70))="X",INDIRECT("I"&amp;(V278+70))="X"),1,0)+IF(AND(INDIRECT("J"&amp;(T278+70))="X",INDIRECT("J"&amp;(U278+70))="X",INDIRECT("J"&amp;(V278+70))="X"),1,0)+IF(AND(INDIRECT("K"&amp;(T278+70))="X",INDIRECT("K"&amp;(U278+70))="X",INDIRECT("K"&amp;(V278+70))="X"),1,0)+IF(AND(INDIRECT("L"&amp;(T278+70))="X",INDIRECT("L"&amp;(U278+70))="X",INDIRECT("L"&amp;(V278+70))="X"),1,0)+IF(AND(INDIRECT("M"&amp;(T278+70))="X",INDIRECT("M"&amp;(U278+70))="X",INDIRECT("M"&amp;(V278+70))="X"),1,0)+IF(AND(INDIRECT("N"&amp;(T278+70))="X",INDIRECT("N"&amp;(U278+70))="X",INDIRECT("N"&amp;(V278+70))="X"),1,0)+IF(AND(INDIRECT("O"&amp;(T278+70))="X",INDIRECT("O"&amp;(U278+70))="X",INDIRECT("O"&amp;(V278+70))="X"),1,0)+IF(AND(INDIRECT("P"&amp;(T278+70))="X",INDIRECT("P"&amp;(U278+70))="X",INDIRECT("P"&amp;(V278+70))="X"),1,0)+IF(AND(INDIRECT("Q"&amp;(T278+70))="X",INDIRECT("Q"&amp;(U278+70))="X",INDIRECT("Q"&amp;(V278+70))="X"),1,0)</f>
        <v>0</v>
      </c>
    </row>
    <row r="279" spans="20:23" x14ac:dyDescent="0.3">
      <c r="T279">
        <v>4</v>
      </c>
      <c r="U279">
        <v>8</v>
      </c>
      <c r="V279">
        <v>10</v>
      </c>
      <c r="W279" cm="1">
        <f t="array" aca="1" ref="W279" ca="1">IF(AND(INDIRECT("B"&amp;(T279+70))="X",INDIRECT("B"&amp;(U279+70))="X",INDIRECT("B"&amp;(V279+70))="X"),1,0)+IF(AND(INDIRECT("C"&amp;(T279+70))="X",INDIRECT("C"&amp;(U279+70))="X",INDIRECT("C"&amp;(V279+70))="X"),1,0)+IF(AND(INDIRECT("D"&amp;(T279+70))="X",INDIRECT("D"&amp;(U279+70))="X",INDIRECT("D"&amp;(V279+70))="X"),1,0)+IF(AND(INDIRECT("E"&amp;(T279+70))="X",INDIRECT("E"&amp;(U279+70))="X",INDIRECT("E"&amp;(V279+70))="X"),1,0)+IF(AND(INDIRECT("F"&amp;(T279+70))="X",INDIRECT("F"&amp;(U279+70))="X",INDIRECT("F"&amp;(V279+70))="X"),1,0)+IF(AND(INDIRECT("G"&amp;(T279+70))="X",INDIRECT("G"&amp;(U279+70))="X",INDIRECT("G"&amp;(V279+70))="X"),1,0)+IF(AND(INDIRECT("H"&amp;(T279+70))="X",INDIRECT("H"&amp;(U279+70))="X",INDIRECT("H"&amp;(V279+70))="X"),1,0)+IF(AND(INDIRECT("I"&amp;(T279+70))="X",INDIRECT("I"&amp;(U279+70))="X",INDIRECT("I"&amp;(V279+70))="X"),1,0)+IF(AND(INDIRECT("J"&amp;(T279+70))="X",INDIRECT("J"&amp;(U279+70))="X",INDIRECT("J"&amp;(V279+70))="X"),1,0)+IF(AND(INDIRECT("K"&amp;(T279+70))="X",INDIRECT("K"&amp;(U279+70))="X",INDIRECT("K"&amp;(V279+70))="X"),1,0)+IF(AND(INDIRECT("L"&amp;(T279+70))="X",INDIRECT("L"&amp;(U279+70))="X",INDIRECT("L"&amp;(V279+70))="X"),1,0)+IF(AND(INDIRECT("M"&amp;(T279+70))="X",INDIRECT("M"&amp;(U279+70))="X",INDIRECT("M"&amp;(V279+70))="X"),1,0)+IF(AND(INDIRECT("N"&amp;(T279+70))="X",INDIRECT("N"&amp;(U279+70))="X",INDIRECT("N"&amp;(V279+70))="X"),1,0)+IF(AND(INDIRECT("O"&amp;(T279+70))="X",INDIRECT("O"&amp;(U279+70))="X",INDIRECT("O"&amp;(V279+70))="X"),1,0)+IF(AND(INDIRECT("P"&amp;(T279+70))="X",INDIRECT("P"&amp;(U279+70))="X",INDIRECT("P"&amp;(V279+70))="X"),1,0)+IF(AND(INDIRECT("Q"&amp;(T279+70))="X",INDIRECT("Q"&amp;(U279+70))="X",INDIRECT("Q"&amp;(V279+70))="X"),1,0)</f>
        <v>0</v>
      </c>
    </row>
    <row r="280" spans="20:23" x14ac:dyDescent="0.3">
      <c r="T280">
        <v>4</v>
      </c>
      <c r="U280">
        <v>8</v>
      </c>
      <c r="V280">
        <v>11</v>
      </c>
      <c r="W280" cm="1">
        <f t="array" aca="1" ref="W280" ca="1">IF(AND(INDIRECT("B"&amp;(T280+70))="X",INDIRECT("B"&amp;(U280+70))="X",INDIRECT("B"&amp;(V280+70))="X"),1,0)+IF(AND(INDIRECT("C"&amp;(T280+70))="X",INDIRECT("C"&amp;(U280+70))="X",INDIRECT("C"&amp;(V280+70))="X"),1,0)+IF(AND(INDIRECT("D"&amp;(T280+70))="X",INDIRECT("D"&amp;(U280+70))="X",INDIRECT("D"&amp;(V280+70))="X"),1,0)+IF(AND(INDIRECT("E"&amp;(T280+70))="X",INDIRECT("E"&amp;(U280+70))="X",INDIRECT("E"&amp;(V280+70))="X"),1,0)+IF(AND(INDIRECT("F"&amp;(T280+70))="X",INDIRECT("F"&amp;(U280+70))="X",INDIRECT("F"&amp;(V280+70))="X"),1,0)+IF(AND(INDIRECT("G"&amp;(T280+70))="X",INDIRECT("G"&amp;(U280+70))="X",INDIRECT("G"&amp;(V280+70))="X"),1,0)+IF(AND(INDIRECT("H"&amp;(T280+70))="X",INDIRECT("H"&amp;(U280+70))="X",INDIRECT("H"&amp;(V280+70))="X"),1,0)+IF(AND(INDIRECT("I"&amp;(T280+70))="X",INDIRECT("I"&amp;(U280+70))="X",INDIRECT("I"&amp;(V280+70))="X"),1,0)+IF(AND(INDIRECT("J"&amp;(T280+70))="X",INDIRECT("J"&amp;(U280+70))="X",INDIRECT("J"&amp;(V280+70))="X"),1,0)+IF(AND(INDIRECT("K"&amp;(T280+70))="X",INDIRECT("K"&amp;(U280+70))="X",INDIRECT("K"&amp;(V280+70))="X"),1,0)+IF(AND(INDIRECT("L"&amp;(T280+70))="X",INDIRECT("L"&amp;(U280+70))="X",INDIRECT("L"&amp;(V280+70))="X"),1,0)+IF(AND(INDIRECT("M"&amp;(T280+70))="X",INDIRECT("M"&amp;(U280+70))="X",INDIRECT("M"&amp;(V280+70))="X"),1,0)+IF(AND(INDIRECT("N"&amp;(T280+70))="X",INDIRECT("N"&amp;(U280+70))="X",INDIRECT("N"&amp;(V280+70))="X"),1,0)+IF(AND(INDIRECT("O"&amp;(T280+70))="X",INDIRECT("O"&amp;(U280+70))="X",INDIRECT("O"&amp;(V280+70))="X"),1,0)+IF(AND(INDIRECT("P"&amp;(T280+70))="X",INDIRECT("P"&amp;(U280+70))="X",INDIRECT("P"&amp;(V280+70))="X"),1,0)+IF(AND(INDIRECT("Q"&amp;(T280+70))="X",INDIRECT("Q"&amp;(U280+70))="X",INDIRECT("Q"&amp;(V280+70))="X"),1,0)</f>
        <v>1</v>
      </c>
    </row>
    <row r="281" spans="20:23" x14ac:dyDescent="0.3">
      <c r="T281">
        <v>4</v>
      </c>
      <c r="U281">
        <v>8</v>
      </c>
      <c r="V281">
        <v>12</v>
      </c>
      <c r="W281" cm="1">
        <f t="array" aca="1" ref="W281" ca="1">IF(AND(INDIRECT("B"&amp;(T281+70))="X",INDIRECT("B"&amp;(U281+70))="X",INDIRECT("B"&amp;(V281+70))="X"),1,0)+IF(AND(INDIRECT("C"&amp;(T281+70))="X",INDIRECT("C"&amp;(U281+70))="X",INDIRECT("C"&amp;(V281+70))="X"),1,0)+IF(AND(INDIRECT("D"&amp;(T281+70))="X",INDIRECT("D"&amp;(U281+70))="X",INDIRECT("D"&amp;(V281+70))="X"),1,0)+IF(AND(INDIRECT("E"&amp;(T281+70))="X",INDIRECT("E"&amp;(U281+70))="X",INDIRECT("E"&amp;(V281+70))="X"),1,0)+IF(AND(INDIRECT("F"&amp;(T281+70))="X",INDIRECT("F"&amp;(U281+70))="X",INDIRECT("F"&amp;(V281+70))="X"),1,0)+IF(AND(INDIRECT("G"&amp;(T281+70))="X",INDIRECT("G"&amp;(U281+70))="X",INDIRECT("G"&amp;(V281+70))="X"),1,0)+IF(AND(INDIRECT("H"&amp;(T281+70))="X",INDIRECT("H"&amp;(U281+70))="X",INDIRECT("H"&amp;(V281+70))="X"),1,0)+IF(AND(INDIRECT("I"&amp;(T281+70))="X",INDIRECT("I"&amp;(U281+70))="X",INDIRECT("I"&amp;(V281+70))="X"),1,0)+IF(AND(INDIRECT("J"&amp;(T281+70))="X",INDIRECT("J"&amp;(U281+70))="X",INDIRECT("J"&amp;(V281+70))="X"),1,0)+IF(AND(INDIRECT("K"&amp;(T281+70))="X",INDIRECT("K"&amp;(U281+70))="X",INDIRECT("K"&amp;(V281+70))="X"),1,0)+IF(AND(INDIRECT("L"&amp;(T281+70))="X",INDIRECT("L"&amp;(U281+70))="X",INDIRECT("L"&amp;(V281+70))="X"),1,0)+IF(AND(INDIRECT("M"&amp;(T281+70))="X",INDIRECT("M"&amp;(U281+70))="X",INDIRECT("M"&amp;(V281+70))="X"),1,0)+IF(AND(INDIRECT("N"&amp;(T281+70))="X",INDIRECT("N"&amp;(U281+70))="X",INDIRECT("N"&amp;(V281+70))="X"),1,0)+IF(AND(INDIRECT("O"&amp;(T281+70))="X",INDIRECT("O"&amp;(U281+70))="X",INDIRECT("O"&amp;(V281+70))="X"),1,0)+IF(AND(INDIRECT("P"&amp;(T281+70))="X",INDIRECT("P"&amp;(U281+70))="X",INDIRECT("P"&amp;(V281+70))="X"),1,0)+IF(AND(INDIRECT("Q"&amp;(T281+70))="X",INDIRECT("Q"&amp;(U281+70))="X",INDIRECT("Q"&amp;(V281+70))="X"),1,0)</f>
        <v>3</v>
      </c>
    </row>
    <row r="282" spans="20:23" x14ac:dyDescent="0.3">
      <c r="T282">
        <v>4</v>
      </c>
      <c r="U282">
        <v>8</v>
      </c>
      <c r="V282">
        <v>13</v>
      </c>
      <c r="W282" cm="1">
        <f t="array" aca="1" ref="W282" ca="1">IF(AND(INDIRECT("B"&amp;(T282+70))="X",INDIRECT("B"&amp;(U282+70))="X",INDIRECT("B"&amp;(V282+70))="X"),1,0)+IF(AND(INDIRECT("C"&amp;(T282+70))="X",INDIRECT("C"&amp;(U282+70))="X",INDIRECT("C"&amp;(V282+70))="X"),1,0)+IF(AND(INDIRECT("D"&amp;(T282+70))="X",INDIRECT("D"&amp;(U282+70))="X",INDIRECT("D"&amp;(V282+70))="X"),1,0)+IF(AND(INDIRECT("E"&amp;(T282+70))="X",INDIRECT("E"&amp;(U282+70))="X",INDIRECT("E"&amp;(V282+70))="X"),1,0)+IF(AND(INDIRECT("F"&amp;(T282+70))="X",INDIRECT("F"&amp;(U282+70))="X",INDIRECT("F"&amp;(V282+70))="X"),1,0)+IF(AND(INDIRECT("G"&amp;(T282+70))="X",INDIRECT("G"&amp;(U282+70))="X",INDIRECT("G"&amp;(V282+70))="X"),1,0)+IF(AND(INDIRECT("H"&amp;(T282+70))="X",INDIRECT("H"&amp;(U282+70))="X",INDIRECT("H"&amp;(V282+70))="X"),1,0)+IF(AND(INDIRECT("I"&amp;(T282+70))="X",INDIRECT("I"&amp;(U282+70))="X",INDIRECT("I"&amp;(V282+70))="X"),1,0)+IF(AND(INDIRECT("J"&amp;(T282+70))="X",INDIRECT("J"&amp;(U282+70))="X",INDIRECT("J"&amp;(V282+70))="X"),1,0)+IF(AND(INDIRECT("K"&amp;(T282+70))="X",INDIRECT("K"&amp;(U282+70))="X",INDIRECT("K"&amp;(V282+70))="X"),1,0)+IF(AND(INDIRECT("L"&amp;(T282+70))="X",INDIRECT("L"&amp;(U282+70))="X",INDIRECT("L"&amp;(V282+70))="X"),1,0)+IF(AND(INDIRECT("M"&amp;(T282+70))="X",INDIRECT("M"&amp;(U282+70))="X",INDIRECT("M"&amp;(V282+70))="X"),1,0)+IF(AND(INDIRECT("N"&amp;(T282+70))="X",INDIRECT("N"&amp;(U282+70))="X",INDIRECT("N"&amp;(V282+70))="X"),1,0)+IF(AND(INDIRECT("O"&amp;(T282+70))="X",INDIRECT("O"&amp;(U282+70))="X",INDIRECT("O"&amp;(V282+70))="X"),1,0)+IF(AND(INDIRECT("P"&amp;(T282+70))="X",INDIRECT("P"&amp;(U282+70))="X",INDIRECT("P"&amp;(V282+70))="X"),1,0)+IF(AND(INDIRECT("Q"&amp;(T282+70))="X",INDIRECT("Q"&amp;(U282+70))="X",INDIRECT("Q"&amp;(V282+70))="X"),1,0)</f>
        <v>1</v>
      </c>
    </row>
    <row r="283" spans="20:23" x14ac:dyDescent="0.3">
      <c r="T283">
        <v>4</v>
      </c>
      <c r="U283">
        <v>8</v>
      </c>
      <c r="V283">
        <v>14</v>
      </c>
      <c r="W283" cm="1">
        <f t="array" aca="1" ref="W283" ca="1">IF(AND(INDIRECT("B"&amp;(T283+70))="X",INDIRECT("B"&amp;(U283+70))="X",INDIRECT("B"&amp;(V283+70))="X"),1,0)+IF(AND(INDIRECT("C"&amp;(T283+70))="X",INDIRECT("C"&amp;(U283+70))="X",INDIRECT("C"&amp;(V283+70))="X"),1,0)+IF(AND(INDIRECT("D"&amp;(T283+70))="X",INDIRECT("D"&amp;(U283+70))="X",INDIRECT("D"&amp;(V283+70))="X"),1,0)+IF(AND(INDIRECT("E"&amp;(T283+70))="X",INDIRECT("E"&amp;(U283+70))="X",INDIRECT("E"&amp;(V283+70))="X"),1,0)+IF(AND(INDIRECT("F"&amp;(T283+70))="X",INDIRECT("F"&amp;(U283+70))="X",INDIRECT("F"&amp;(V283+70))="X"),1,0)+IF(AND(INDIRECT("G"&amp;(T283+70))="X",INDIRECT("G"&amp;(U283+70))="X",INDIRECT("G"&amp;(V283+70))="X"),1,0)+IF(AND(INDIRECT("H"&amp;(T283+70))="X",INDIRECT("H"&amp;(U283+70))="X",INDIRECT("H"&amp;(V283+70))="X"),1,0)+IF(AND(INDIRECT("I"&amp;(T283+70))="X",INDIRECT("I"&amp;(U283+70))="X",INDIRECT("I"&amp;(V283+70))="X"),1,0)+IF(AND(INDIRECT("J"&amp;(T283+70))="X",INDIRECT("J"&amp;(U283+70))="X",INDIRECT("J"&amp;(V283+70))="X"),1,0)+IF(AND(INDIRECT("K"&amp;(T283+70))="X",INDIRECT("K"&amp;(U283+70))="X",INDIRECT("K"&amp;(V283+70))="X"),1,0)+IF(AND(INDIRECT("L"&amp;(T283+70))="X",INDIRECT("L"&amp;(U283+70))="X",INDIRECT("L"&amp;(V283+70))="X"),1,0)+IF(AND(INDIRECT("M"&amp;(T283+70))="X",INDIRECT("M"&amp;(U283+70))="X",INDIRECT("M"&amp;(V283+70))="X"),1,0)+IF(AND(INDIRECT("N"&amp;(T283+70))="X",INDIRECT("N"&amp;(U283+70))="X",INDIRECT("N"&amp;(V283+70))="X"),1,0)+IF(AND(INDIRECT("O"&amp;(T283+70))="X",INDIRECT("O"&amp;(U283+70))="X",INDIRECT("O"&amp;(V283+70))="X"),1,0)+IF(AND(INDIRECT("P"&amp;(T283+70))="X",INDIRECT("P"&amp;(U283+70))="X",INDIRECT("P"&amp;(V283+70))="X"),1,0)+IF(AND(INDIRECT("Q"&amp;(T283+70))="X",INDIRECT("Q"&amp;(U283+70))="X",INDIRECT("Q"&amp;(V283+70))="X"),1,0)</f>
        <v>2</v>
      </c>
    </row>
    <row r="284" spans="20:23" x14ac:dyDescent="0.3">
      <c r="T284">
        <v>4</v>
      </c>
      <c r="U284">
        <v>9</v>
      </c>
      <c r="V284">
        <v>10</v>
      </c>
      <c r="W284" cm="1">
        <f t="array" aca="1" ref="W284" ca="1">IF(AND(INDIRECT("B"&amp;(T284+70))="X",INDIRECT("B"&amp;(U284+70))="X",INDIRECT("B"&amp;(V284+70))="X"),1,0)+IF(AND(INDIRECT("C"&amp;(T284+70))="X",INDIRECT("C"&amp;(U284+70))="X",INDIRECT("C"&amp;(V284+70))="X"),1,0)+IF(AND(INDIRECT("D"&amp;(T284+70))="X",INDIRECT("D"&amp;(U284+70))="X",INDIRECT("D"&amp;(V284+70))="X"),1,0)+IF(AND(INDIRECT("E"&amp;(T284+70))="X",INDIRECT("E"&amp;(U284+70))="X",INDIRECT("E"&amp;(V284+70))="X"),1,0)+IF(AND(INDIRECT("F"&amp;(T284+70))="X",INDIRECT("F"&amp;(U284+70))="X",INDIRECT("F"&amp;(V284+70))="X"),1,0)+IF(AND(INDIRECT("G"&amp;(T284+70))="X",INDIRECT("G"&amp;(U284+70))="X",INDIRECT("G"&amp;(V284+70))="X"),1,0)+IF(AND(INDIRECT("H"&amp;(T284+70))="X",INDIRECT("H"&amp;(U284+70))="X",INDIRECT("H"&amp;(V284+70))="X"),1,0)+IF(AND(INDIRECT("I"&amp;(T284+70))="X",INDIRECT("I"&amp;(U284+70))="X",INDIRECT("I"&amp;(V284+70))="X"),1,0)+IF(AND(INDIRECT("J"&amp;(T284+70))="X",INDIRECT("J"&amp;(U284+70))="X",INDIRECT("J"&amp;(V284+70))="X"),1,0)+IF(AND(INDIRECT("K"&amp;(T284+70))="X",INDIRECT("K"&amp;(U284+70))="X",INDIRECT("K"&amp;(V284+70))="X"),1,0)+IF(AND(INDIRECT("L"&amp;(T284+70))="X",INDIRECT("L"&amp;(U284+70))="X",INDIRECT("L"&amp;(V284+70))="X"),1,0)+IF(AND(INDIRECT("M"&amp;(T284+70))="X",INDIRECT("M"&amp;(U284+70))="X",INDIRECT("M"&amp;(V284+70))="X"),1,0)+IF(AND(INDIRECT("N"&amp;(T284+70))="X",INDIRECT("N"&amp;(U284+70))="X",INDIRECT("N"&amp;(V284+70))="X"),1,0)+IF(AND(INDIRECT("O"&amp;(T284+70))="X",INDIRECT("O"&amp;(U284+70))="X",INDIRECT("O"&amp;(V284+70))="X"),1,0)+IF(AND(INDIRECT("P"&amp;(T284+70))="X",INDIRECT("P"&amp;(U284+70))="X",INDIRECT("P"&amp;(V284+70))="X"),1,0)+IF(AND(INDIRECT("Q"&amp;(T284+70))="X",INDIRECT("Q"&amp;(U284+70))="X",INDIRECT("Q"&amp;(V284+70))="X"),1,0)</f>
        <v>0</v>
      </c>
    </row>
    <row r="285" spans="20:23" x14ac:dyDescent="0.3">
      <c r="T285">
        <v>4</v>
      </c>
      <c r="U285">
        <v>9</v>
      </c>
      <c r="V285">
        <v>11</v>
      </c>
      <c r="W285" cm="1">
        <f t="array" aca="1" ref="W285" ca="1">IF(AND(INDIRECT("B"&amp;(T285+70))="X",INDIRECT("B"&amp;(U285+70))="X",INDIRECT("B"&amp;(V285+70))="X"),1,0)+IF(AND(INDIRECT("C"&amp;(T285+70))="X",INDIRECT("C"&amp;(U285+70))="X",INDIRECT("C"&amp;(V285+70))="X"),1,0)+IF(AND(INDIRECT("D"&amp;(T285+70))="X",INDIRECT("D"&amp;(U285+70))="X",INDIRECT("D"&amp;(V285+70))="X"),1,0)+IF(AND(INDIRECT("E"&amp;(T285+70))="X",INDIRECT("E"&amp;(U285+70))="X",INDIRECT("E"&amp;(V285+70))="X"),1,0)+IF(AND(INDIRECT("F"&amp;(T285+70))="X",INDIRECT("F"&amp;(U285+70))="X",INDIRECT("F"&amp;(V285+70))="X"),1,0)+IF(AND(INDIRECT("G"&amp;(T285+70))="X",INDIRECT("G"&amp;(U285+70))="X",INDIRECT("G"&amp;(V285+70))="X"),1,0)+IF(AND(INDIRECT("H"&amp;(T285+70))="X",INDIRECT("H"&amp;(U285+70))="X",INDIRECT("H"&amp;(V285+70))="X"),1,0)+IF(AND(INDIRECT("I"&amp;(T285+70))="X",INDIRECT("I"&amp;(U285+70))="X",INDIRECT("I"&amp;(V285+70))="X"),1,0)+IF(AND(INDIRECT("J"&amp;(T285+70))="X",INDIRECT("J"&amp;(U285+70))="X",INDIRECT("J"&amp;(V285+70))="X"),1,0)+IF(AND(INDIRECT("K"&amp;(T285+70))="X",INDIRECT("K"&amp;(U285+70))="X",INDIRECT("K"&amp;(V285+70))="X"),1,0)+IF(AND(INDIRECT("L"&amp;(T285+70))="X",INDIRECT("L"&amp;(U285+70))="X",INDIRECT("L"&amp;(V285+70))="X"),1,0)+IF(AND(INDIRECT("M"&amp;(T285+70))="X",INDIRECT("M"&amp;(U285+70))="X",INDIRECT("M"&amp;(V285+70))="X"),1,0)+IF(AND(INDIRECT("N"&amp;(T285+70))="X",INDIRECT("N"&amp;(U285+70))="X",INDIRECT("N"&amp;(V285+70))="X"),1,0)+IF(AND(INDIRECT("O"&amp;(T285+70))="X",INDIRECT("O"&amp;(U285+70))="X",INDIRECT("O"&amp;(V285+70))="X"),1,0)+IF(AND(INDIRECT("P"&amp;(T285+70))="X",INDIRECT("P"&amp;(U285+70))="X",INDIRECT("P"&amp;(V285+70))="X"),1,0)+IF(AND(INDIRECT("Q"&amp;(T285+70))="X",INDIRECT("Q"&amp;(U285+70))="X",INDIRECT("Q"&amp;(V285+70))="X"),1,0)</f>
        <v>0</v>
      </c>
    </row>
    <row r="286" spans="20:23" x14ac:dyDescent="0.3">
      <c r="T286">
        <v>4</v>
      </c>
      <c r="U286">
        <v>9</v>
      </c>
      <c r="V286">
        <v>12</v>
      </c>
      <c r="W286" cm="1">
        <f t="array" aca="1" ref="W286" ca="1">IF(AND(INDIRECT("B"&amp;(T286+70))="X",INDIRECT("B"&amp;(U286+70))="X",INDIRECT("B"&amp;(V286+70))="X"),1,0)+IF(AND(INDIRECT("C"&amp;(T286+70))="X",INDIRECT("C"&amp;(U286+70))="X",INDIRECT("C"&amp;(V286+70))="X"),1,0)+IF(AND(INDIRECT("D"&amp;(T286+70))="X",INDIRECT("D"&amp;(U286+70))="X",INDIRECT("D"&amp;(V286+70))="X"),1,0)+IF(AND(INDIRECT("E"&amp;(T286+70))="X",INDIRECT("E"&amp;(U286+70))="X",INDIRECT("E"&amp;(V286+70))="X"),1,0)+IF(AND(INDIRECT("F"&amp;(T286+70))="X",INDIRECT("F"&amp;(U286+70))="X",INDIRECT("F"&amp;(V286+70))="X"),1,0)+IF(AND(INDIRECT("G"&amp;(T286+70))="X",INDIRECT("G"&amp;(U286+70))="X",INDIRECT("G"&amp;(V286+70))="X"),1,0)+IF(AND(INDIRECT("H"&amp;(T286+70))="X",INDIRECT("H"&amp;(U286+70))="X",INDIRECT("H"&amp;(V286+70))="X"),1,0)+IF(AND(INDIRECT("I"&amp;(T286+70))="X",INDIRECT("I"&amp;(U286+70))="X",INDIRECT("I"&amp;(V286+70))="X"),1,0)+IF(AND(INDIRECT("J"&amp;(T286+70))="X",INDIRECT("J"&amp;(U286+70))="X",INDIRECT("J"&amp;(V286+70))="X"),1,0)+IF(AND(INDIRECT("K"&amp;(T286+70))="X",INDIRECT("K"&amp;(U286+70))="X",INDIRECT("K"&amp;(V286+70))="X"),1,0)+IF(AND(INDIRECT("L"&amp;(T286+70))="X",INDIRECT("L"&amp;(U286+70))="X",INDIRECT("L"&amp;(V286+70))="X"),1,0)+IF(AND(INDIRECT("M"&amp;(T286+70))="X",INDIRECT("M"&amp;(U286+70))="X",INDIRECT("M"&amp;(V286+70))="X"),1,0)+IF(AND(INDIRECT("N"&amp;(T286+70))="X",INDIRECT("N"&amp;(U286+70))="X",INDIRECT("N"&amp;(V286+70))="X"),1,0)+IF(AND(INDIRECT("O"&amp;(T286+70))="X",INDIRECT("O"&amp;(U286+70))="X",INDIRECT("O"&amp;(V286+70))="X"),1,0)+IF(AND(INDIRECT("P"&amp;(T286+70))="X",INDIRECT("P"&amp;(U286+70))="X",INDIRECT("P"&amp;(V286+70))="X"),1,0)+IF(AND(INDIRECT("Q"&amp;(T286+70))="X",INDIRECT("Q"&amp;(U286+70))="X",INDIRECT("Q"&amp;(V286+70))="X"),1,0)</f>
        <v>0</v>
      </c>
    </row>
    <row r="287" spans="20:23" x14ac:dyDescent="0.3">
      <c r="T287">
        <v>4</v>
      </c>
      <c r="U287">
        <v>9</v>
      </c>
      <c r="V287">
        <v>13</v>
      </c>
      <c r="W287" cm="1">
        <f t="array" aca="1" ref="W287" ca="1">IF(AND(INDIRECT("B"&amp;(T287+70))="X",INDIRECT("B"&amp;(U287+70))="X",INDIRECT("B"&amp;(V287+70))="X"),1,0)+IF(AND(INDIRECT("C"&amp;(T287+70))="X",INDIRECT("C"&amp;(U287+70))="X",INDIRECT("C"&amp;(V287+70))="X"),1,0)+IF(AND(INDIRECT("D"&amp;(T287+70))="X",INDIRECT("D"&amp;(U287+70))="X",INDIRECT("D"&amp;(V287+70))="X"),1,0)+IF(AND(INDIRECT("E"&amp;(T287+70))="X",INDIRECT("E"&amp;(U287+70))="X",INDIRECT("E"&amp;(V287+70))="X"),1,0)+IF(AND(INDIRECT("F"&amp;(T287+70))="X",INDIRECT("F"&amp;(U287+70))="X",INDIRECT("F"&amp;(V287+70))="X"),1,0)+IF(AND(INDIRECT("G"&amp;(T287+70))="X",INDIRECT("G"&amp;(U287+70))="X",INDIRECT("G"&amp;(V287+70))="X"),1,0)+IF(AND(INDIRECT("H"&amp;(T287+70))="X",INDIRECT("H"&amp;(U287+70))="X",INDIRECT("H"&amp;(V287+70))="X"),1,0)+IF(AND(INDIRECT("I"&amp;(T287+70))="X",INDIRECT("I"&amp;(U287+70))="X",INDIRECT("I"&amp;(V287+70))="X"),1,0)+IF(AND(INDIRECT("J"&amp;(T287+70))="X",INDIRECT("J"&amp;(U287+70))="X",INDIRECT("J"&amp;(V287+70))="X"),1,0)+IF(AND(INDIRECT("K"&amp;(T287+70))="X",INDIRECT("K"&amp;(U287+70))="X",INDIRECT("K"&amp;(V287+70))="X"),1,0)+IF(AND(INDIRECT("L"&amp;(T287+70))="X",INDIRECT("L"&amp;(U287+70))="X",INDIRECT("L"&amp;(V287+70))="X"),1,0)+IF(AND(INDIRECT("M"&amp;(T287+70))="X",INDIRECT("M"&amp;(U287+70))="X",INDIRECT("M"&amp;(V287+70))="X"),1,0)+IF(AND(INDIRECT("N"&amp;(T287+70))="X",INDIRECT("N"&amp;(U287+70))="X",INDIRECT("N"&amp;(V287+70))="X"),1,0)+IF(AND(INDIRECT("O"&amp;(T287+70))="X",INDIRECT("O"&amp;(U287+70))="X",INDIRECT("O"&amp;(V287+70))="X"),1,0)+IF(AND(INDIRECT("P"&amp;(T287+70))="X",INDIRECT("P"&amp;(U287+70))="X",INDIRECT("P"&amp;(V287+70))="X"),1,0)+IF(AND(INDIRECT("Q"&amp;(T287+70))="X",INDIRECT("Q"&amp;(U287+70))="X",INDIRECT("Q"&amp;(V287+70))="X"),1,0)</f>
        <v>1</v>
      </c>
    </row>
    <row r="288" spans="20:23" x14ac:dyDescent="0.3">
      <c r="T288">
        <v>4</v>
      </c>
      <c r="U288">
        <v>9</v>
      </c>
      <c r="V288">
        <v>14</v>
      </c>
      <c r="W288" cm="1">
        <f t="array" aca="1" ref="W288" ca="1">IF(AND(INDIRECT("B"&amp;(T288+70))="X",INDIRECT("B"&amp;(U288+70))="X",INDIRECT("B"&amp;(V288+70))="X"),1,0)+IF(AND(INDIRECT("C"&amp;(T288+70))="X",INDIRECT("C"&amp;(U288+70))="X",INDIRECT("C"&amp;(V288+70))="X"),1,0)+IF(AND(INDIRECT("D"&amp;(T288+70))="X",INDIRECT("D"&amp;(U288+70))="X",INDIRECT("D"&amp;(V288+70))="X"),1,0)+IF(AND(INDIRECT("E"&amp;(T288+70))="X",INDIRECT("E"&amp;(U288+70))="X",INDIRECT("E"&amp;(V288+70))="X"),1,0)+IF(AND(INDIRECT("F"&amp;(T288+70))="X",INDIRECT("F"&amp;(U288+70))="X",INDIRECT("F"&amp;(V288+70))="X"),1,0)+IF(AND(INDIRECT("G"&amp;(T288+70))="X",INDIRECT("G"&amp;(U288+70))="X",INDIRECT("G"&amp;(V288+70))="X"),1,0)+IF(AND(INDIRECT("H"&amp;(T288+70))="X",INDIRECT("H"&amp;(U288+70))="X",INDIRECT("H"&amp;(V288+70))="X"),1,0)+IF(AND(INDIRECT("I"&amp;(T288+70))="X",INDIRECT("I"&amp;(U288+70))="X",INDIRECT("I"&amp;(V288+70))="X"),1,0)+IF(AND(INDIRECT("J"&amp;(T288+70))="X",INDIRECT("J"&amp;(U288+70))="X",INDIRECT("J"&amp;(V288+70))="X"),1,0)+IF(AND(INDIRECT("K"&amp;(T288+70))="X",INDIRECT("K"&amp;(U288+70))="X",INDIRECT("K"&amp;(V288+70))="X"),1,0)+IF(AND(INDIRECT("L"&amp;(T288+70))="X",INDIRECT("L"&amp;(U288+70))="X",INDIRECT("L"&amp;(V288+70))="X"),1,0)+IF(AND(INDIRECT("M"&amp;(T288+70))="X",INDIRECT("M"&amp;(U288+70))="X",INDIRECT("M"&amp;(V288+70))="X"),1,0)+IF(AND(INDIRECT("N"&amp;(T288+70))="X",INDIRECT("N"&amp;(U288+70))="X",INDIRECT("N"&amp;(V288+70))="X"),1,0)+IF(AND(INDIRECT("O"&amp;(T288+70))="X",INDIRECT("O"&amp;(U288+70))="X",INDIRECT("O"&amp;(V288+70))="X"),1,0)+IF(AND(INDIRECT("P"&amp;(T288+70))="X",INDIRECT("P"&amp;(U288+70))="X",INDIRECT("P"&amp;(V288+70))="X"),1,0)+IF(AND(INDIRECT("Q"&amp;(T288+70))="X",INDIRECT("Q"&amp;(U288+70))="X",INDIRECT("Q"&amp;(V288+70))="X"),1,0)</f>
        <v>0</v>
      </c>
    </row>
    <row r="289" spans="20:23" x14ac:dyDescent="0.3">
      <c r="T289">
        <v>4</v>
      </c>
      <c r="U289">
        <v>10</v>
      </c>
      <c r="V289">
        <v>11</v>
      </c>
      <c r="W289" cm="1">
        <f t="array" aca="1" ref="W289" ca="1">IF(AND(INDIRECT("B"&amp;(T289+70))="X",INDIRECT("B"&amp;(U289+70))="X",INDIRECT("B"&amp;(V289+70))="X"),1,0)+IF(AND(INDIRECT("C"&amp;(T289+70))="X",INDIRECT("C"&amp;(U289+70))="X",INDIRECT("C"&amp;(V289+70))="X"),1,0)+IF(AND(INDIRECT("D"&amp;(T289+70))="X",INDIRECT("D"&amp;(U289+70))="X",INDIRECT("D"&amp;(V289+70))="X"),1,0)+IF(AND(INDIRECT("E"&amp;(T289+70))="X",INDIRECT("E"&amp;(U289+70))="X",INDIRECT("E"&amp;(V289+70))="X"),1,0)+IF(AND(INDIRECT("F"&amp;(T289+70))="X",INDIRECT("F"&amp;(U289+70))="X",INDIRECT("F"&amp;(V289+70))="X"),1,0)+IF(AND(INDIRECT("G"&amp;(T289+70))="X",INDIRECT("G"&amp;(U289+70))="X",INDIRECT("G"&amp;(V289+70))="X"),1,0)+IF(AND(INDIRECT("H"&amp;(T289+70))="X",INDIRECT("H"&amp;(U289+70))="X",INDIRECT("H"&amp;(V289+70))="X"),1,0)+IF(AND(INDIRECT("I"&amp;(T289+70))="X",INDIRECT("I"&amp;(U289+70))="X",INDIRECT("I"&amp;(V289+70))="X"),1,0)+IF(AND(INDIRECT("J"&amp;(T289+70))="X",INDIRECT("J"&amp;(U289+70))="X",INDIRECT("J"&amp;(V289+70))="X"),1,0)+IF(AND(INDIRECT("K"&amp;(T289+70))="X",INDIRECT("K"&amp;(U289+70))="X",INDIRECT("K"&amp;(V289+70))="X"),1,0)+IF(AND(INDIRECT("L"&amp;(T289+70))="X",INDIRECT("L"&amp;(U289+70))="X",INDIRECT("L"&amp;(V289+70))="X"),1,0)+IF(AND(INDIRECT("M"&amp;(T289+70))="X",INDIRECT("M"&amp;(U289+70))="X",INDIRECT("M"&amp;(V289+70))="X"),1,0)+IF(AND(INDIRECT("N"&amp;(T289+70))="X",INDIRECT("N"&amp;(U289+70))="X",INDIRECT("N"&amp;(V289+70))="X"),1,0)+IF(AND(INDIRECT("O"&amp;(T289+70))="X",INDIRECT("O"&amp;(U289+70))="X",INDIRECT("O"&amp;(V289+70))="X"),1,0)+IF(AND(INDIRECT("P"&amp;(T289+70))="X",INDIRECT("P"&amp;(U289+70))="X",INDIRECT("P"&amp;(V289+70))="X"),1,0)+IF(AND(INDIRECT("Q"&amp;(T289+70))="X",INDIRECT("Q"&amp;(U289+70))="X",INDIRECT("Q"&amp;(V289+70))="X"),1,0)</f>
        <v>1</v>
      </c>
    </row>
    <row r="290" spans="20:23" x14ac:dyDescent="0.3">
      <c r="T290">
        <v>4</v>
      </c>
      <c r="U290">
        <v>10</v>
      </c>
      <c r="V290">
        <v>12</v>
      </c>
      <c r="W290" cm="1">
        <f t="array" aca="1" ref="W290" ca="1">IF(AND(INDIRECT("B"&amp;(T290+70))="X",INDIRECT("B"&amp;(U290+70))="X",INDIRECT("B"&amp;(V290+70))="X"),1,0)+IF(AND(INDIRECT("C"&amp;(T290+70))="X",INDIRECT("C"&amp;(U290+70))="X",INDIRECT("C"&amp;(V290+70))="X"),1,0)+IF(AND(INDIRECT("D"&amp;(T290+70))="X",INDIRECT("D"&amp;(U290+70))="X",INDIRECT("D"&amp;(V290+70))="X"),1,0)+IF(AND(INDIRECT("E"&amp;(T290+70))="X",INDIRECT("E"&amp;(U290+70))="X",INDIRECT("E"&amp;(V290+70))="X"),1,0)+IF(AND(INDIRECT("F"&amp;(T290+70))="X",INDIRECT("F"&amp;(U290+70))="X",INDIRECT("F"&amp;(V290+70))="X"),1,0)+IF(AND(INDIRECT("G"&amp;(T290+70))="X",INDIRECT("G"&amp;(U290+70))="X",INDIRECT("G"&amp;(V290+70))="X"),1,0)+IF(AND(INDIRECT("H"&amp;(T290+70))="X",INDIRECT("H"&amp;(U290+70))="X",INDIRECT("H"&amp;(V290+70))="X"),1,0)+IF(AND(INDIRECT("I"&amp;(T290+70))="X",INDIRECT("I"&amp;(U290+70))="X",INDIRECT("I"&amp;(V290+70))="X"),1,0)+IF(AND(INDIRECT("J"&amp;(T290+70))="X",INDIRECT("J"&amp;(U290+70))="X",INDIRECT("J"&amp;(V290+70))="X"),1,0)+IF(AND(INDIRECT("K"&amp;(T290+70))="X",INDIRECT("K"&amp;(U290+70))="X",INDIRECT("K"&amp;(V290+70))="X"),1,0)+IF(AND(INDIRECT("L"&amp;(T290+70))="X",INDIRECT("L"&amp;(U290+70))="X",INDIRECT("L"&amp;(V290+70))="X"),1,0)+IF(AND(INDIRECT("M"&amp;(T290+70))="X",INDIRECT("M"&amp;(U290+70))="X",INDIRECT("M"&amp;(V290+70))="X"),1,0)+IF(AND(INDIRECT("N"&amp;(T290+70))="X",INDIRECT("N"&amp;(U290+70))="X",INDIRECT("N"&amp;(V290+70))="X"),1,0)+IF(AND(INDIRECT("O"&amp;(T290+70))="X",INDIRECT("O"&amp;(U290+70))="X",INDIRECT("O"&amp;(V290+70))="X"),1,0)+IF(AND(INDIRECT("P"&amp;(T290+70))="X",INDIRECT("P"&amp;(U290+70))="X",INDIRECT("P"&amp;(V290+70))="X"),1,0)+IF(AND(INDIRECT("Q"&amp;(T290+70))="X",INDIRECT("Q"&amp;(U290+70))="X",INDIRECT("Q"&amp;(V290+70))="X"),1,0)</f>
        <v>1</v>
      </c>
    </row>
    <row r="291" spans="20:23" x14ac:dyDescent="0.3">
      <c r="T291">
        <v>4</v>
      </c>
      <c r="U291">
        <v>10</v>
      </c>
      <c r="V291">
        <v>13</v>
      </c>
      <c r="W291" cm="1">
        <f t="array" aca="1" ref="W291" ca="1">IF(AND(INDIRECT("B"&amp;(T291+70))="X",INDIRECT("B"&amp;(U291+70))="X",INDIRECT("B"&amp;(V291+70))="X"),1,0)+IF(AND(INDIRECT("C"&amp;(T291+70))="X",INDIRECT("C"&amp;(U291+70))="X",INDIRECT("C"&amp;(V291+70))="X"),1,0)+IF(AND(INDIRECT("D"&amp;(T291+70))="X",INDIRECT("D"&amp;(U291+70))="X",INDIRECT("D"&amp;(V291+70))="X"),1,0)+IF(AND(INDIRECT("E"&amp;(T291+70))="X",INDIRECT("E"&amp;(U291+70))="X",INDIRECT("E"&amp;(V291+70))="X"),1,0)+IF(AND(INDIRECT("F"&amp;(T291+70))="X",INDIRECT("F"&amp;(U291+70))="X",INDIRECT("F"&amp;(V291+70))="X"),1,0)+IF(AND(INDIRECT("G"&amp;(T291+70))="X",INDIRECT("G"&amp;(U291+70))="X",INDIRECT("G"&amp;(V291+70))="X"),1,0)+IF(AND(INDIRECT("H"&amp;(T291+70))="X",INDIRECT("H"&amp;(U291+70))="X",INDIRECT("H"&amp;(V291+70))="X"),1,0)+IF(AND(INDIRECT("I"&amp;(T291+70))="X",INDIRECT("I"&amp;(U291+70))="X",INDIRECT("I"&amp;(V291+70))="X"),1,0)+IF(AND(INDIRECT("J"&amp;(T291+70))="X",INDIRECT("J"&amp;(U291+70))="X",INDIRECT("J"&amp;(V291+70))="X"),1,0)+IF(AND(INDIRECT("K"&amp;(T291+70))="X",INDIRECT("K"&amp;(U291+70))="X",INDIRECT("K"&amp;(V291+70))="X"),1,0)+IF(AND(INDIRECT("L"&amp;(T291+70))="X",INDIRECT("L"&amp;(U291+70))="X",INDIRECT("L"&amp;(V291+70))="X"),1,0)+IF(AND(INDIRECT("M"&amp;(T291+70))="X",INDIRECT("M"&amp;(U291+70))="X",INDIRECT("M"&amp;(V291+70))="X"),1,0)+IF(AND(INDIRECT("N"&amp;(T291+70))="X",INDIRECT("N"&amp;(U291+70))="X",INDIRECT("N"&amp;(V291+70))="X"),1,0)+IF(AND(INDIRECT("O"&amp;(T291+70))="X",INDIRECT("O"&amp;(U291+70))="X",INDIRECT("O"&amp;(V291+70))="X"),1,0)+IF(AND(INDIRECT("P"&amp;(T291+70))="X",INDIRECT("P"&amp;(U291+70))="X",INDIRECT("P"&amp;(V291+70))="X"),1,0)+IF(AND(INDIRECT("Q"&amp;(T291+70))="X",INDIRECT("Q"&amp;(U291+70))="X",INDIRECT("Q"&amp;(V291+70))="X"),1,0)</f>
        <v>0</v>
      </c>
    </row>
    <row r="292" spans="20:23" x14ac:dyDescent="0.3">
      <c r="T292">
        <v>4</v>
      </c>
      <c r="U292">
        <v>10</v>
      </c>
      <c r="V292">
        <v>14</v>
      </c>
      <c r="W292" cm="1">
        <f t="array" aca="1" ref="W292" ca="1">IF(AND(INDIRECT("B"&amp;(T292+70))="X",INDIRECT("B"&amp;(U292+70))="X",INDIRECT("B"&amp;(V292+70))="X"),1,0)+IF(AND(INDIRECT("C"&amp;(T292+70))="X",INDIRECT("C"&amp;(U292+70))="X",INDIRECT("C"&amp;(V292+70))="X"),1,0)+IF(AND(INDIRECT("D"&amp;(T292+70))="X",INDIRECT("D"&amp;(U292+70))="X",INDIRECT("D"&amp;(V292+70))="X"),1,0)+IF(AND(INDIRECT("E"&amp;(T292+70))="X",INDIRECT("E"&amp;(U292+70))="X",INDIRECT("E"&amp;(V292+70))="X"),1,0)+IF(AND(INDIRECT("F"&amp;(T292+70))="X",INDIRECT("F"&amp;(U292+70))="X",INDIRECT("F"&amp;(V292+70))="X"),1,0)+IF(AND(INDIRECT("G"&amp;(T292+70))="X",INDIRECT("G"&amp;(U292+70))="X",INDIRECT("G"&amp;(V292+70))="X"),1,0)+IF(AND(INDIRECT("H"&amp;(T292+70))="X",INDIRECT("H"&amp;(U292+70))="X",INDIRECT("H"&amp;(V292+70))="X"),1,0)+IF(AND(INDIRECT("I"&amp;(T292+70))="X",INDIRECT("I"&amp;(U292+70))="X",INDIRECT("I"&amp;(V292+70))="X"),1,0)+IF(AND(INDIRECT("J"&amp;(T292+70))="X",INDIRECT("J"&amp;(U292+70))="X",INDIRECT("J"&amp;(V292+70))="X"),1,0)+IF(AND(INDIRECT("K"&amp;(T292+70))="X",INDIRECT("K"&amp;(U292+70))="X",INDIRECT("K"&amp;(V292+70))="X"),1,0)+IF(AND(INDIRECT("L"&amp;(T292+70))="X",INDIRECT("L"&amp;(U292+70))="X",INDIRECT("L"&amp;(V292+70))="X"),1,0)+IF(AND(INDIRECT("M"&amp;(T292+70))="X",INDIRECT("M"&amp;(U292+70))="X",INDIRECT("M"&amp;(V292+70))="X"),1,0)+IF(AND(INDIRECT("N"&amp;(T292+70))="X",INDIRECT("N"&amp;(U292+70))="X",INDIRECT("N"&amp;(V292+70))="X"),1,0)+IF(AND(INDIRECT("O"&amp;(T292+70))="X",INDIRECT("O"&amp;(U292+70))="X",INDIRECT("O"&amp;(V292+70))="X"),1,0)+IF(AND(INDIRECT("P"&amp;(T292+70))="X",INDIRECT("P"&amp;(U292+70))="X",INDIRECT("P"&amp;(V292+70))="X"),1,0)+IF(AND(INDIRECT("Q"&amp;(T292+70))="X",INDIRECT("Q"&amp;(U292+70))="X",INDIRECT("Q"&amp;(V292+70))="X"),1,0)</f>
        <v>1</v>
      </c>
    </row>
    <row r="293" spans="20:23" x14ac:dyDescent="0.3">
      <c r="T293">
        <v>4</v>
      </c>
      <c r="U293">
        <v>11</v>
      </c>
      <c r="V293">
        <v>12</v>
      </c>
      <c r="W293" cm="1">
        <f t="array" aca="1" ref="W293" ca="1">IF(AND(INDIRECT("B"&amp;(T293+70))="X",INDIRECT("B"&amp;(U293+70))="X",INDIRECT("B"&amp;(V293+70))="X"),1,0)+IF(AND(INDIRECT("C"&amp;(T293+70))="X",INDIRECT("C"&amp;(U293+70))="X",INDIRECT("C"&amp;(V293+70))="X"),1,0)+IF(AND(INDIRECT("D"&amp;(T293+70))="X",INDIRECT("D"&amp;(U293+70))="X",INDIRECT("D"&amp;(V293+70))="X"),1,0)+IF(AND(INDIRECT("E"&amp;(T293+70))="X",INDIRECT("E"&amp;(U293+70))="X",INDIRECT("E"&amp;(V293+70))="X"),1,0)+IF(AND(INDIRECT("F"&amp;(T293+70))="X",INDIRECT("F"&amp;(U293+70))="X",INDIRECT("F"&amp;(V293+70))="X"),1,0)+IF(AND(INDIRECT("G"&amp;(T293+70))="X",INDIRECT("G"&amp;(U293+70))="X",INDIRECT("G"&amp;(V293+70))="X"),1,0)+IF(AND(INDIRECT("H"&amp;(T293+70))="X",INDIRECT("H"&amp;(U293+70))="X",INDIRECT("H"&amp;(V293+70))="X"),1,0)+IF(AND(INDIRECT("I"&amp;(T293+70))="X",INDIRECT("I"&amp;(U293+70))="X",INDIRECT("I"&amp;(V293+70))="X"),1,0)+IF(AND(INDIRECT("J"&amp;(T293+70))="X",INDIRECT("J"&amp;(U293+70))="X",INDIRECT("J"&amp;(V293+70))="X"),1,0)+IF(AND(INDIRECT("K"&amp;(T293+70))="X",INDIRECT("K"&amp;(U293+70))="X",INDIRECT("K"&amp;(V293+70))="X"),1,0)+IF(AND(INDIRECT("L"&amp;(T293+70))="X",INDIRECT("L"&amp;(U293+70))="X",INDIRECT("L"&amp;(V293+70))="X"),1,0)+IF(AND(INDIRECT("M"&amp;(T293+70))="X",INDIRECT("M"&amp;(U293+70))="X",INDIRECT("M"&amp;(V293+70))="X"),1,0)+IF(AND(INDIRECT("N"&amp;(T293+70))="X",INDIRECT("N"&amp;(U293+70))="X",INDIRECT("N"&amp;(V293+70))="X"),1,0)+IF(AND(INDIRECT("O"&amp;(T293+70))="X",INDIRECT("O"&amp;(U293+70))="X",INDIRECT("O"&amp;(V293+70))="X"),1,0)+IF(AND(INDIRECT("P"&amp;(T293+70))="X",INDIRECT("P"&amp;(U293+70))="X",INDIRECT("P"&amp;(V293+70))="X"),1,0)+IF(AND(INDIRECT("Q"&amp;(T293+70))="X",INDIRECT("Q"&amp;(U293+70))="X",INDIRECT("Q"&amp;(V293+70))="X"),1,0)</f>
        <v>2</v>
      </c>
    </row>
    <row r="294" spans="20:23" x14ac:dyDescent="0.3">
      <c r="T294">
        <v>4</v>
      </c>
      <c r="U294">
        <v>11</v>
      </c>
      <c r="V294">
        <v>13</v>
      </c>
      <c r="W294" cm="1">
        <f t="array" aca="1" ref="W294" ca="1">IF(AND(INDIRECT("B"&amp;(T294+70))="X",INDIRECT("B"&amp;(U294+70))="X",INDIRECT("B"&amp;(V294+70))="X"),1,0)+IF(AND(INDIRECT("C"&amp;(T294+70))="X",INDIRECT("C"&amp;(U294+70))="X",INDIRECT("C"&amp;(V294+70))="X"),1,0)+IF(AND(INDIRECT("D"&amp;(T294+70))="X",INDIRECT("D"&amp;(U294+70))="X",INDIRECT("D"&amp;(V294+70))="X"),1,0)+IF(AND(INDIRECT("E"&amp;(T294+70))="X",INDIRECT("E"&amp;(U294+70))="X",INDIRECT("E"&amp;(V294+70))="X"),1,0)+IF(AND(INDIRECT("F"&amp;(T294+70))="X",INDIRECT("F"&amp;(U294+70))="X",INDIRECT("F"&amp;(V294+70))="X"),1,0)+IF(AND(INDIRECT("G"&amp;(T294+70))="X",INDIRECT("G"&amp;(U294+70))="X",INDIRECT("G"&amp;(V294+70))="X"),1,0)+IF(AND(INDIRECT("H"&amp;(T294+70))="X",INDIRECT("H"&amp;(U294+70))="X",INDIRECT("H"&amp;(V294+70))="X"),1,0)+IF(AND(INDIRECT("I"&amp;(T294+70))="X",INDIRECT("I"&amp;(U294+70))="X",INDIRECT("I"&amp;(V294+70))="X"),1,0)+IF(AND(INDIRECT("J"&amp;(T294+70))="X",INDIRECT("J"&amp;(U294+70))="X",INDIRECT("J"&amp;(V294+70))="X"),1,0)+IF(AND(INDIRECT("K"&amp;(T294+70))="X",INDIRECT("K"&amp;(U294+70))="X",INDIRECT("K"&amp;(V294+70))="X"),1,0)+IF(AND(INDIRECT("L"&amp;(T294+70))="X",INDIRECT("L"&amp;(U294+70))="X",INDIRECT("L"&amp;(V294+70))="X"),1,0)+IF(AND(INDIRECT("M"&amp;(T294+70))="X",INDIRECT("M"&amp;(U294+70))="X",INDIRECT("M"&amp;(V294+70))="X"),1,0)+IF(AND(INDIRECT("N"&amp;(T294+70))="X",INDIRECT("N"&amp;(U294+70))="X",INDIRECT("N"&amp;(V294+70))="X"),1,0)+IF(AND(INDIRECT("O"&amp;(T294+70))="X",INDIRECT("O"&amp;(U294+70))="X",INDIRECT("O"&amp;(V294+70))="X"),1,0)+IF(AND(INDIRECT("P"&amp;(T294+70))="X",INDIRECT("P"&amp;(U294+70))="X",INDIRECT("P"&amp;(V294+70))="X"),1,0)+IF(AND(INDIRECT("Q"&amp;(T294+70))="X",INDIRECT("Q"&amp;(U294+70))="X",INDIRECT("Q"&amp;(V294+70))="X"),1,0)</f>
        <v>2</v>
      </c>
    </row>
    <row r="295" spans="20:23" x14ac:dyDescent="0.3">
      <c r="T295">
        <v>4</v>
      </c>
      <c r="U295">
        <v>11</v>
      </c>
      <c r="V295">
        <v>14</v>
      </c>
      <c r="W295" cm="1">
        <f t="array" aca="1" ref="W295" ca="1">IF(AND(INDIRECT("B"&amp;(T295+70))="X",INDIRECT("B"&amp;(U295+70))="X",INDIRECT("B"&amp;(V295+70))="X"),1,0)+IF(AND(INDIRECT("C"&amp;(T295+70))="X",INDIRECT("C"&amp;(U295+70))="X",INDIRECT("C"&amp;(V295+70))="X"),1,0)+IF(AND(INDIRECT("D"&amp;(T295+70))="X",INDIRECT("D"&amp;(U295+70))="X",INDIRECT("D"&amp;(V295+70))="X"),1,0)+IF(AND(INDIRECT("E"&amp;(T295+70))="X",INDIRECT("E"&amp;(U295+70))="X",INDIRECT("E"&amp;(V295+70))="X"),1,0)+IF(AND(INDIRECT("F"&amp;(T295+70))="X",INDIRECT("F"&amp;(U295+70))="X",INDIRECT("F"&amp;(V295+70))="X"),1,0)+IF(AND(INDIRECT("G"&amp;(T295+70))="X",INDIRECT("G"&amp;(U295+70))="X",INDIRECT("G"&amp;(V295+70))="X"),1,0)+IF(AND(INDIRECT("H"&amp;(T295+70))="X",INDIRECT("H"&amp;(U295+70))="X",INDIRECT("H"&amp;(V295+70))="X"),1,0)+IF(AND(INDIRECT("I"&amp;(T295+70))="X",INDIRECT("I"&amp;(U295+70))="X",INDIRECT("I"&amp;(V295+70))="X"),1,0)+IF(AND(INDIRECT("J"&amp;(T295+70))="X",INDIRECT("J"&amp;(U295+70))="X",INDIRECT("J"&amp;(V295+70))="X"),1,0)+IF(AND(INDIRECT("K"&amp;(T295+70))="X",INDIRECT("K"&amp;(U295+70))="X",INDIRECT("K"&amp;(V295+70))="X"),1,0)+IF(AND(INDIRECT("L"&amp;(T295+70))="X",INDIRECT("L"&amp;(U295+70))="X",INDIRECT("L"&amp;(V295+70))="X"),1,0)+IF(AND(INDIRECT("M"&amp;(T295+70))="X",INDIRECT("M"&amp;(U295+70))="X",INDIRECT("M"&amp;(V295+70))="X"),1,0)+IF(AND(INDIRECT("N"&amp;(T295+70))="X",INDIRECT("N"&amp;(U295+70))="X",INDIRECT("N"&amp;(V295+70))="X"),1,0)+IF(AND(INDIRECT("O"&amp;(T295+70))="X",INDIRECT("O"&amp;(U295+70))="X",INDIRECT("O"&amp;(V295+70))="X"),1,0)+IF(AND(INDIRECT("P"&amp;(T295+70))="X",INDIRECT("P"&amp;(U295+70))="X",INDIRECT("P"&amp;(V295+70))="X"),1,0)+IF(AND(INDIRECT("Q"&amp;(T295+70))="X",INDIRECT("Q"&amp;(U295+70))="X",INDIRECT("Q"&amp;(V295+70))="X"),1,0)</f>
        <v>1</v>
      </c>
    </row>
    <row r="296" spans="20:23" x14ac:dyDescent="0.3">
      <c r="T296">
        <v>4</v>
      </c>
      <c r="U296">
        <v>12</v>
      </c>
      <c r="V296">
        <v>13</v>
      </c>
      <c r="W296" cm="1">
        <f t="array" aca="1" ref="W296" ca="1">IF(AND(INDIRECT("B"&amp;(T296+70))="X",INDIRECT("B"&amp;(U296+70))="X",INDIRECT("B"&amp;(V296+70))="X"),1,0)+IF(AND(INDIRECT("C"&amp;(T296+70))="X",INDIRECT("C"&amp;(U296+70))="X",INDIRECT("C"&amp;(V296+70))="X"),1,0)+IF(AND(INDIRECT("D"&amp;(T296+70))="X",INDIRECT("D"&amp;(U296+70))="X",INDIRECT("D"&amp;(V296+70))="X"),1,0)+IF(AND(INDIRECT("E"&amp;(T296+70))="X",INDIRECT("E"&amp;(U296+70))="X",INDIRECT("E"&amp;(V296+70))="X"),1,0)+IF(AND(INDIRECT("F"&amp;(T296+70))="X",INDIRECT("F"&amp;(U296+70))="X",INDIRECT("F"&amp;(V296+70))="X"),1,0)+IF(AND(INDIRECT("G"&amp;(T296+70))="X",INDIRECT("G"&amp;(U296+70))="X",INDIRECT("G"&amp;(V296+70))="X"),1,0)+IF(AND(INDIRECT("H"&amp;(T296+70))="X",INDIRECT("H"&amp;(U296+70))="X",INDIRECT("H"&amp;(V296+70))="X"),1,0)+IF(AND(INDIRECT("I"&amp;(T296+70))="X",INDIRECT("I"&amp;(U296+70))="X",INDIRECT("I"&amp;(V296+70))="X"),1,0)+IF(AND(INDIRECT("J"&amp;(T296+70))="X",INDIRECT("J"&amp;(U296+70))="X",INDIRECT("J"&amp;(V296+70))="X"),1,0)+IF(AND(INDIRECT("K"&amp;(T296+70))="X",INDIRECT("K"&amp;(U296+70))="X",INDIRECT("K"&amp;(V296+70))="X"),1,0)+IF(AND(INDIRECT("L"&amp;(T296+70))="X",INDIRECT("L"&amp;(U296+70))="X",INDIRECT("L"&amp;(V296+70))="X"),1,0)+IF(AND(INDIRECT("M"&amp;(T296+70))="X",INDIRECT("M"&amp;(U296+70))="X",INDIRECT("M"&amp;(V296+70))="X"),1,0)+IF(AND(INDIRECT("N"&amp;(T296+70))="X",INDIRECT("N"&amp;(U296+70))="X",INDIRECT("N"&amp;(V296+70))="X"),1,0)+IF(AND(INDIRECT("O"&amp;(T296+70))="X",INDIRECT("O"&amp;(U296+70))="X",INDIRECT("O"&amp;(V296+70))="X"),1,0)+IF(AND(INDIRECT("P"&amp;(T296+70))="X",INDIRECT("P"&amp;(U296+70))="X",INDIRECT("P"&amp;(V296+70))="X"),1,0)+IF(AND(INDIRECT("Q"&amp;(T296+70))="X",INDIRECT("Q"&amp;(U296+70))="X",INDIRECT("Q"&amp;(V296+70))="X"),1,0)</f>
        <v>0</v>
      </c>
    </row>
    <row r="297" spans="20:23" x14ac:dyDescent="0.3">
      <c r="T297">
        <v>4</v>
      </c>
      <c r="U297">
        <v>12</v>
      </c>
      <c r="V297">
        <v>14</v>
      </c>
      <c r="W297" cm="1">
        <f t="array" aca="1" ref="W297" ca="1">IF(AND(INDIRECT("B"&amp;(T297+70))="X",INDIRECT("B"&amp;(U297+70))="X",INDIRECT("B"&amp;(V297+70))="X"),1,0)+IF(AND(INDIRECT("C"&amp;(T297+70))="X",INDIRECT("C"&amp;(U297+70))="X",INDIRECT("C"&amp;(V297+70))="X"),1,0)+IF(AND(INDIRECT("D"&amp;(T297+70))="X",INDIRECT("D"&amp;(U297+70))="X",INDIRECT("D"&amp;(V297+70))="X"),1,0)+IF(AND(INDIRECT("E"&amp;(T297+70))="X",INDIRECT("E"&amp;(U297+70))="X",INDIRECT("E"&amp;(V297+70))="X"),1,0)+IF(AND(INDIRECT("F"&amp;(T297+70))="X",INDIRECT("F"&amp;(U297+70))="X",INDIRECT("F"&amp;(V297+70))="X"),1,0)+IF(AND(INDIRECT("G"&amp;(T297+70))="X",INDIRECT("G"&amp;(U297+70))="X",INDIRECT("G"&amp;(V297+70))="X"),1,0)+IF(AND(INDIRECT("H"&amp;(T297+70))="X",INDIRECT("H"&amp;(U297+70))="X",INDIRECT("H"&amp;(V297+70))="X"),1,0)+IF(AND(INDIRECT("I"&amp;(T297+70))="X",INDIRECT("I"&amp;(U297+70))="X",INDIRECT("I"&amp;(V297+70))="X"),1,0)+IF(AND(INDIRECT("J"&amp;(T297+70))="X",INDIRECT("J"&amp;(U297+70))="X",INDIRECT("J"&amp;(V297+70))="X"),1,0)+IF(AND(INDIRECT("K"&amp;(T297+70))="X",INDIRECT("K"&amp;(U297+70))="X",INDIRECT("K"&amp;(V297+70))="X"),1,0)+IF(AND(INDIRECT("L"&amp;(T297+70))="X",INDIRECT("L"&amp;(U297+70))="X",INDIRECT("L"&amp;(V297+70))="X"),1,0)+IF(AND(INDIRECT("M"&amp;(T297+70))="X",INDIRECT("M"&amp;(U297+70))="X",INDIRECT("M"&amp;(V297+70))="X"),1,0)+IF(AND(INDIRECT("N"&amp;(T297+70))="X",INDIRECT("N"&amp;(U297+70))="X",INDIRECT("N"&amp;(V297+70))="X"),1,0)+IF(AND(INDIRECT("O"&amp;(T297+70))="X",INDIRECT("O"&amp;(U297+70))="X",INDIRECT("O"&amp;(V297+70))="X"),1,0)+IF(AND(INDIRECT("P"&amp;(T297+70))="X",INDIRECT("P"&amp;(U297+70))="X",INDIRECT("P"&amp;(V297+70))="X"),1,0)+IF(AND(INDIRECT("Q"&amp;(T297+70))="X",INDIRECT("Q"&amp;(U297+70))="X",INDIRECT("Q"&amp;(V297+70))="X"),1,0)</f>
        <v>3</v>
      </c>
    </row>
    <row r="298" spans="20:23" x14ac:dyDescent="0.3">
      <c r="T298">
        <v>4</v>
      </c>
      <c r="U298">
        <v>13</v>
      </c>
      <c r="V298">
        <v>14</v>
      </c>
      <c r="W298" cm="1">
        <f t="array" aca="1" ref="W298" ca="1">IF(AND(INDIRECT("B"&amp;(T298+70))="X",INDIRECT("B"&amp;(U298+70))="X",INDIRECT("B"&amp;(V298+70))="X"),1,0)+IF(AND(INDIRECT("C"&amp;(T298+70))="X",INDIRECT("C"&amp;(U298+70))="X",INDIRECT("C"&amp;(V298+70))="X"),1,0)+IF(AND(INDIRECT("D"&amp;(T298+70))="X",INDIRECT("D"&amp;(U298+70))="X",INDIRECT("D"&amp;(V298+70))="X"),1,0)+IF(AND(INDIRECT("E"&amp;(T298+70))="X",INDIRECT("E"&amp;(U298+70))="X",INDIRECT("E"&amp;(V298+70))="X"),1,0)+IF(AND(INDIRECT("F"&amp;(T298+70))="X",INDIRECT("F"&amp;(U298+70))="X",INDIRECT("F"&amp;(V298+70))="X"),1,0)+IF(AND(INDIRECT("G"&amp;(T298+70))="X",INDIRECT("G"&amp;(U298+70))="X",INDIRECT("G"&amp;(V298+70))="X"),1,0)+IF(AND(INDIRECT("H"&amp;(T298+70))="X",INDIRECT("H"&amp;(U298+70))="X",INDIRECT("H"&amp;(V298+70))="X"),1,0)+IF(AND(INDIRECT("I"&amp;(T298+70))="X",INDIRECT("I"&amp;(U298+70))="X",INDIRECT("I"&amp;(V298+70))="X"),1,0)+IF(AND(INDIRECT("J"&amp;(T298+70))="X",INDIRECT("J"&amp;(U298+70))="X",INDIRECT("J"&amp;(V298+70))="X"),1,0)+IF(AND(INDIRECT("K"&amp;(T298+70))="X",INDIRECT("K"&amp;(U298+70))="X",INDIRECT("K"&amp;(V298+70))="X"),1,0)+IF(AND(INDIRECT("L"&amp;(T298+70))="X",INDIRECT("L"&amp;(U298+70))="X",INDIRECT("L"&amp;(V298+70))="X"),1,0)+IF(AND(INDIRECT("M"&amp;(T298+70))="X",INDIRECT("M"&amp;(U298+70))="X",INDIRECT("M"&amp;(V298+70))="X"),1,0)+IF(AND(INDIRECT("N"&amp;(T298+70))="X",INDIRECT("N"&amp;(U298+70))="X",INDIRECT("N"&amp;(V298+70))="X"),1,0)+IF(AND(INDIRECT("O"&amp;(T298+70))="X",INDIRECT("O"&amp;(U298+70))="X",INDIRECT("O"&amp;(V298+70))="X"),1,0)+IF(AND(INDIRECT("P"&amp;(T298+70))="X",INDIRECT("P"&amp;(U298+70))="X",INDIRECT("P"&amp;(V298+70))="X"),1,0)+IF(AND(INDIRECT("Q"&amp;(T298+70))="X",INDIRECT("Q"&amp;(U298+70))="X",INDIRECT("Q"&amp;(V298+70))="X"),1,0)</f>
        <v>0</v>
      </c>
    </row>
    <row r="299" spans="20:23" x14ac:dyDescent="0.3">
      <c r="T299">
        <v>5</v>
      </c>
      <c r="U299">
        <v>6</v>
      </c>
      <c r="V299">
        <v>7</v>
      </c>
      <c r="W299" cm="1">
        <f t="array" aca="1" ref="W299" ca="1">IF(AND(INDIRECT("B"&amp;(T299+70))="X",INDIRECT("B"&amp;(U299+70))="X",INDIRECT("B"&amp;(V299+70))="X"),1,0)+IF(AND(INDIRECT("C"&amp;(T299+70))="X",INDIRECT("C"&amp;(U299+70))="X",INDIRECT("C"&amp;(V299+70))="X"),1,0)+IF(AND(INDIRECT("D"&amp;(T299+70))="X",INDIRECT("D"&amp;(U299+70))="X",INDIRECT("D"&amp;(V299+70))="X"),1,0)+IF(AND(INDIRECT("E"&amp;(T299+70))="X",INDIRECT("E"&amp;(U299+70))="X",INDIRECT("E"&amp;(V299+70))="X"),1,0)+IF(AND(INDIRECT("F"&amp;(T299+70))="X",INDIRECT("F"&amp;(U299+70))="X",INDIRECT("F"&amp;(V299+70))="X"),1,0)+IF(AND(INDIRECT("G"&amp;(T299+70))="X",INDIRECT("G"&amp;(U299+70))="X",INDIRECT("G"&amp;(V299+70))="X"),1,0)+IF(AND(INDIRECT("H"&amp;(T299+70))="X",INDIRECT("H"&amp;(U299+70))="X",INDIRECT("H"&amp;(V299+70))="X"),1,0)+IF(AND(INDIRECT("I"&amp;(T299+70))="X",INDIRECT("I"&amp;(U299+70))="X",INDIRECT("I"&amp;(V299+70))="X"),1,0)+IF(AND(INDIRECT("J"&amp;(T299+70))="X",INDIRECT("J"&amp;(U299+70))="X",INDIRECT("J"&amp;(V299+70))="X"),1,0)+IF(AND(INDIRECT("K"&amp;(T299+70))="X",INDIRECT("K"&amp;(U299+70))="X",INDIRECT("K"&amp;(V299+70))="X"),1,0)+IF(AND(INDIRECT("L"&amp;(T299+70))="X",INDIRECT("L"&amp;(U299+70))="X",INDIRECT("L"&amp;(V299+70))="X"),1,0)+IF(AND(INDIRECT("M"&amp;(T299+70))="X",INDIRECT("M"&amp;(U299+70))="X",INDIRECT("M"&amp;(V299+70))="X"),1,0)+IF(AND(INDIRECT("N"&amp;(T299+70))="X",INDIRECT("N"&amp;(U299+70))="X",INDIRECT("N"&amp;(V299+70))="X"),1,0)+IF(AND(INDIRECT("O"&amp;(T299+70))="X",INDIRECT("O"&amp;(U299+70))="X",INDIRECT("O"&amp;(V299+70))="X"),1,0)+IF(AND(INDIRECT("P"&amp;(T299+70))="X",INDIRECT("P"&amp;(U299+70))="X",INDIRECT("P"&amp;(V299+70))="X"),1,0)+IF(AND(INDIRECT("Q"&amp;(T299+70))="X",INDIRECT("Q"&amp;(U299+70))="X",INDIRECT("Q"&amp;(V299+70))="X"),1,0)</f>
        <v>1</v>
      </c>
    </row>
    <row r="300" spans="20:23" x14ac:dyDescent="0.3">
      <c r="T300">
        <v>5</v>
      </c>
      <c r="U300">
        <v>6</v>
      </c>
      <c r="V300">
        <v>8</v>
      </c>
      <c r="W300" cm="1">
        <f t="array" aca="1" ref="W300" ca="1">IF(AND(INDIRECT("B"&amp;(T300+70))="X",INDIRECT("B"&amp;(U300+70))="X",INDIRECT("B"&amp;(V300+70))="X"),1,0)+IF(AND(INDIRECT("C"&amp;(T300+70))="X",INDIRECT("C"&amp;(U300+70))="X",INDIRECT("C"&amp;(V300+70))="X"),1,0)+IF(AND(INDIRECT("D"&amp;(T300+70))="X",INDIRECT("D"&amp;(U300+70))="X",INDIRECT("D"&amp;(V300+70))="X"),1,0)+IF(AND(INDIRECT("E"&amp;(T300+70))="X",INDIRECT("E"&amp;(U300+70))="X",INDIRECT("E"&amp;(V300+70))="X"),1,0)+IF(AND(INDIRECT("F"&amp;(T300+70))="X",INDIRECT("F"&amp;(U300+70))="X",INDIRECT("F"&amp;(V300+70))="X"),1,0)+IF(AND(INDIRECT("G"&amp;(T300+70))="X",INDIRECT("G"&amp;(U300+70))="X",INDIRECT("G"&amp;(V300+70))="X"),1,0)+IF(AND(INDIRECT("H"&amp;(T300+70))="X",INDIRECT("H"&amp;(U300+70))="X",INDIRECT("H"&amp;(V300+70))="X"),1,0)+IF(AND(INDIRECT("I"&amp;(T300+70))="X",INDIRECT("I"&amp;(U300+70))="X",INDIRECT("I"&amp;(V300+70))="X"),1,0)+IF(AND(INDIRECT("J"&amp;(T300+70))="X",INDIRECT("J"&amp;(U300+70))="X",INDIRECT("J"&amp;(V300+70))="X"),1,0)+IF(AND(INDIRECT("K"&amp;(T300+70))="X",INDIRECT("K"&amp;(U300+70))="X",INDIRECT("K"&amp;(V300+70))="X"),1,0)+IF(AND(INDIRECT("L"&amp;(T300+70))="X",INDIRECT("L"&amp;(U300+70))="X",INDIRECT("L"&amp;(V300+70))="X"),1,0)+IF(AND(INDIRECT("M"&amp;(T300+70))="X",INDIRECT("M"&amp;(U300+70))="X",INDIRECT("M"&amp;(V300+70))="X"),1,0)+IF(AND(INDIRECT("N"&amp;(T300+70))="X",INDIRECT("N"&amp;(U300+70))="X",INDIRECT("N"&amp;(V300+70))="X"),1,0)+IF(AND(INDIRECT("O"&amp;(T300+70))="X",INDIRECT("O"&amp;(U300+70))="X",INDIRECT("O"&amp;(V300+70))="X"),1,0)+IF(AND(INDIRECT("P"&amp;(T300+70))="X",INDIRECT("P"&amp;(U300+70))="X",INDIRECT("P"&amp;(V300+70))="X"),1,0)+IF(AND(INDIRECT("Q"&amp;(T300+70))="X",INDIRECT("Q"&amp;(U300+70))="X",INDIRECT("Q"&amp;(V300+70))="X"),1,0)</f>
        <v>3</v>
      </c>
    </row>
    <row r="301" spans="20:23" x14ac:dyDescent="0.3">
      <c r="T301">
        <v>5</v>
      </c>
      <c r="U301">
        <v>6</v>
      </c>
      <c r="V301">
        <v>9</v>
      </c>
      <c r="W301" cm="1">
        <f t="array" aca="1" ref="W301" ca="1">IF(AND(INDIRECT("B"&amp;(T301+70))="X",INDIRECT("B"&amp;(U301+70))="X",INDIRECT("B"&amp;(V301+70))="X"),1,0)+IF(AND(INDIRECT("C"&amp;(T301+70))="X",INDIRECT("C"&amp;(U301+70))="X",INDIRECT("C"&amp;(V301+70))="X"),1,0)+IF(AND(INDIRECT("D"&amp;(T301+70))="X",INDIRECT("D"&amp;(U301+70))="X",INDIRECT("D"&amp;(V301+70))="X"),1,0)+IF(AND(INDIRECT("E"&amp;(T301+70))="X",INDIRECT("E"&amp;(U301+70))="X",INDIRECT("E"&amp;(V301+70))="X"),1,0)+IF(AND(INDIRECT("F"&amp;(T301+70))="X",INDIRECT("F"&amp;(U301+70))="X",INDIRECT("F"&amp;(V301+70))="X"),1,0)+IF(AND(INDIRECT("G"&amp;(T301+70))="X",INDIRECT("G"&amp;(U301+70))="X",INDIRECT("G"&amp;(V301+70))="X"),1,0)+IF(AND(INDIRECT("H"&amp;(T301+70))="X",INDIRECT("H"&amp;(U301+70))="X",INDIRECT("H"&amp;(V301+70))="X"),1,0)+IF(AND(INDIRECT("I"&amp;(T301+70))="X",INDIRECT("I"&amp;(U301+70))="X",INDIRECT("I"&amp;(V301+70))="X"),1,0)+IF(AND(INDIRECT("J"&amp;(T301+70))="X",INDIRECT("J"&amp;(U301+70))="X",INDIRECT("J"&amp;(V301+70))="X"),1,0)+IF(AND(INDIRECT("K"&amp;(T301+70))="X",INDIRECT("K"&amp;(U301+70))="X",INDIRECT("K"&amp;(V301+70))="X"),1,0)+IF(AND(INDIRECT("L"&amp;(T301+70))="X",INDIRECT("L"&amp;(U301+70))="X",INDIRECT("L"&amp;(V301+70))="X"),1,0)+IF(AND(INDIRECT("M"&amp;(T301+70))="X",INDIRECT("M"&amp;(U301+70))="X",INDIRECT("M"&amp;(V301+70))="X"),1,0)+IF(AND(INDIRECT("N"&amp;(T301+70))="X",INDIRECT("N"&amp;(U301+70))="X",INDIRECT("N"&amp;(V301+70))="X"),1,0)+IF(AND(INDIRECT("O"&amp;(T301+70))="X",INDIRECT("O"&amp;(U301+70))="X",INDIRECT("O"&amp;(V301+70))="X"),1,0)+IF(AND(INDIRECT("P"&amp;(T301+70))="X",INDIRECT("P"&amp;(U301+70))="X",INDIRECT("P"&amp;(V301+70))="X"),1,0)+IF(AND(INDIRECT("Q"&amp;(T301+70))="X",INDIRECT("Q"&amp;(U301+70))="X",INDIRECT("Q"&amp;(V301+70))="X"),1,0)</f>
        <v>2</v>
      </c>
    </row>
    <row r="302" spans="20:23" x14ac:dyDescent="0.3">
      <c r="T302">
        <v>5</v>
      </c>
      <c r="U302">
        <v>6</v>
      </c>
      <c r="V302">
        <v>10</v>
      </c>
      <c r="W302" cm="1">
        <f t="array" aca="1" ref="W302" ca="1">IF(AND(INDIRECT("B"&amp;(T302+70))="X",INDIRECT("B"&amp;(U302+70))="X",INDIRECT("B"&amp;(V302+70))="X"),1,0)+IF(AND(INDIRECT("C"&amp;(T302+70))="X",INDIRECT("C"&amp;(U302+70))="X",INDIRECT("C"&amp;(V302+70))="X"),1,0)+IF(AND(INDIRECT("D"&amp;(T302+70))="X",INDIRECT("D"&amp;(U302+70))="X",INDIRECT("D"&amp;(V302+70))="X"),1,0)+IF(AND(INDIRECT("E"&amp;(T302+70))="X",INDIRECT("E"&amp;(U302+70))="X",INDIRECT("E"&amp;(V302+70))="X"),1,0)+IF(AND(INDIRECT("F"&amp;(T302+70))="X",INDIRECT("F"&amp;(U302+70))="X",INDIRECT("F"&amp;(V302+70))="X"),1,0)+IF(AND(INDIRECT("G"&amp;(T302+70))="X",INDIRECT("G"&amp;(U302+70))="X",INDIRECT("G"&amp;(V302+70))="X"),1,0)+IF(AND(INDIRECT("H"&amp;(T302+70))="X",INDIRECT("H"&amp;(U302+70))="X",INDIRECT("H"&amp;(V302+70))="X"),1,0)+IF(AND(INDIRECT("I"&amp;(T302+70))="X",INDIRECT("I"&amp;(U302+70))="X",INDIRECT("I"&amp;(V302+70))="X"),1,0)+IF(AND(INDIRECT("J"&amp;(T302+70))="X",INDIRECT("J"&amp;(U302+70))="X",INDIRECT("J"&amp;(V302+70))="X"),1,0)+IF(AND(INDIRECT("K"&amp;(T302+70))="X",INDIRECT("K"&amp;(U302+70))="X",INDIRECT("K"&amp;(V302+70))="X"),1,0)+IF(AND(INDIRECT("L"&amp;(T302+70))="X",INDIRECT("L"&amp;(U302+70))="X",INDIRECT("L"&amp;(V302+70))="X"),1,0)+IF(AND(INDIRECT("M"&amp;(T302+70))="X",INDIRECT("M"&amp;(U302+70))="X",INDIRECT("M"&amp;(V302+70))="X"),1,0)+IF(AND(INDIRECT("N"&amp;(T302+70))="X",INDIRECT("N"&amp;(U302+70))="X",INDIRECT("N"&amp;(V302+70))="X"),1,0)+IF(AND(INDIRECT("O"&amp;(T302+70))="X",INDIRECT("O"&amp;(U302+70))="X",INDIRECT("O"&amp;(V302+70))="X"),1,0)+IF(AND(INDIRECT("P"&amp;(T302+70))="X",INDIRECT("P"&amp;(U302+70))="X",INDIRECT("P"&amp;(V302+70))="X"),1,0)+IF(AND(INDIRECT("Q"&amp;(T302+70))="X",INDIRECT("Q"&amp;(U302+70))="X",INDIRECT("Q"&amp;(V302+70))="X"),1,0)</f>
        <v>3</v>
      </c>
    </row>
    <row r="303" spans="20:23" x14ac:dyDescent="0.3">
      <c r="T303">
        <v>5</v>
      </c>
      <c r="U303">
        <v>6</v>
      </c>
      <c r="V303">
        <v>11</v>
      </c>
      <c r="W303" cm="1">
        <f t="array" aca="1" ref="W303" ca="1">IF(AND(INDIRECT("B"&amp;(T303+70))="X",INDIRECT("B"&amp;(U303+70))="X",INDIRECT("B"&amp;(V303+70))="X"),1,0)+IF(AND(INDIRECT("C"&amp;(T303+70))="X",INDIRECT("C"&amp;(U303+70))="X",INDIRECT("C"&amp;(V303+70))="X"),1,0)+IF(AND(INDIRECT("D"&amp;(T303+70))="X",INDIRECT("D"&amp;(U303+70))="X",INDIRECT("D"&amp;(V303+70))="X"),1,0)+IF(AND(INDIRECT("E"&amp;(T303+70))="X",INDIRECT("E"&amp;(U303+70))="X",INDIRECT("E"&amp;(V303+70))="X"),1,0)+IF(AND(INDIRECT("F"&amp;(T303+70))="X",INDIRECT("F"&amp;(U303+70))="X",INDIRECT("F"&amp;(V303+70))="X"),1,0)+IF(AND(INDIRECT("G"&amp;(T303+70))="X",INDIRECT("G"&amp;(U303+70))="X",INDIRECT("G"&amp;(V303+70))="X"),1,0)+IF(AND(INDIRECT("H"&amp;(T303+70))="X",INDIRECT("H"&amp;(U303+70))="X",INDIRECT("H"&amp;(V303+70))="X"),1,0)+IF(AND(INDIRECT("I"&amp;(T303+70))="X",INDIRECT("I"&amp;(U303+70))="X",INDIRECT("I"&amp;(V303+70))="X"),1,0)+IF(AND(INDIRECT("J"&amp;(T303+70))="X",INDIRECT("J"&amp;(U303+70))="X",INDIRECT("J"&amp;(V303+70))="X"),1,0)+IF(AND(INDIRECT("K"&amp;(T303+70))="X",INDIRECT("K"&amp;(U303+70))="X",INDIRECT("K"&amp;(V303+70))="X"),1,0)+IF(AND(INDIRECT("L"&amp;(T303+70))="X",INDIRECT("L"&amp;(U303+70))="X",INDIRECT("L"&amp;(V303+70))="X"),1,0)+IF(AND(INDIRECT("M"&amp;(T303+70))="X",INDIRECT("M"&amp;(U303+70))="X",INDIRECT("M"&amp;(V303+70))="X"),1,0)+IF(AND(INDIRECT("N"&amp;(T303+70))="X",INDIRECT("N"&amp;(U303+70))="X",INDIRECT("N"&amp;(V303+70))="X"),1,0)+IF(AND(INDIRECT("O"&amp;(T303+70))="X",INDIRECT("O"&amp;(U303+70))="X",INDIRECT("O"&amp;(V303+70))="X"),1,0)+IF(AND(INDIRECT("P"&amp;(T303+70))="X",INDIRECT("P"&amp;(U303+70))="X",INDIRECT("P"&amp;(V303+70))="X"),1,0)+IF(AND(INDIRECT("Q"&amp;(T303+70))="X",INDIRECT("Q"&amp;(U303+70))="X",INDIRECT("Q"&amp;(V303+70))="X"),1,0)</f>
        <v>1</v>
      </c>
    </row>
    <row r="304" spans="20:23" x14ac:dyDescent="0.3">
      <c r="T304">
        <v>5</v>
      </c>
      <c r="U304">
        <v>6</v>
      </c>
      <c r="V304">
        <v>12</v>
      </c>
      <c r="W304" cm="1">
        <f t="array" aca="1" ref="W304" ca="1">IF(AND(INDIRECT("B"&amp;(T304+70))="X",INDIRECT("B"&amp;(U304+70))="X",INDIRECT("B"&amp;(V304+70))="X"),1,0)+IF(AND(INDIRECT("C"&amp;(T304+70))="X",INDIRECT("C"&amp;(U304+70))="X",INDIRECT("C"&amp;(V304+70))="X"),1,0)+IF(AND(INDIRECT("D"&amp;(T304+70))="X",INDIRECT("D"&amp;(U304+70))="X",INDIRECT("D"&amp;(V304+70))="X"),1,0)+IF(AND(INDIRECT("E"&amp;(T304+70))="X",INDIRECT("E"&amp;(U304+70))="X",INDIRECT("E"&amp;(V304+70))="X"),1,0)+IF(AND(INDIRECT("F"&amp;(T304+70))="X",INDIRECT("F"&amp;(U304+70))="X",INDIRECT("F"&amp;(V304+70))="X"),1,0)+IF(AND(INDIRECT("G"&amp;(T304+70))="X",INDIRECT("G"&amp;(U304+70))="X",INDIRECT("G"&amp;(V304+70))="X"),1,0)+IF(AND(INDIRECT("H"&amp;(T304+70))="X",INDIRECT("H"&amp;(U304+70))="X",INDIRECT("H"&amp;(V304+70))="X"),1,0)+IF(AND(INDIRECT("I"&amp;(T304+70))="X",INDIRECT("I"&amp;(U304+70))="X",INDIRECT("I"&amp;(V304+70))="X"),1,0)+IF(AND(INDIRECT("J"&amp;(T304+70))="X",INDIRECT("J"&amp;(U304+70))="X",INDIRECT("J"&amp;(V304+70))="X"),1,0)+IF(AND(INDIRECT("K"&amp;(T304+70))="X",INDIRECT("K"&amp;(U304+70))="X",INDIRECT("K"&amp;(V304+70))="X"),1,0)+IF(AND(INDIRECT("L"&amp;(T304+70))="X",INDIRECT("L"&amp;(U304+70))="X",INDIRECT("L"&amp;(V304+70))="X"),1,0)+IF(AND(INDIRECT("M"&amp;(T304+70))="X",INDIRECT("M"&amp;(U304+70))="X",INDIRECT("M"&amp;(V304+70))="X"),1,0)+IF(AND(INDIRECT("N"&amp;(T304+70))="X",INDIRECT("N"&amp;(U304+70))="X",INDIRECT("N"&amp;(V304+70))="X"),1,0)+IF(AND(INDIRECT("O"&amp;(T304+70))="X",INDIRECT("O"&amp;(U304+70))="X",INDIRECT("O"&amp;(V304+70))="X"),1,0)+IF(AND(INDIRECT("P"&amp;(T304+70))="X",INDIRECT("P"&amp;(U304+70))="X",INDIRECT("P"&amp;(V304+70))="X"),1,0)+IF(AND(INDIRECT("Q"&amp;(T304+70))="X",INDIRECT("Q"&amp;(U304+70))="X",INDIRECT("Q"&amp;(V304+70))="X"),1,0)</f>
        <v>1</v>
      </c>
    </row>
    <row r="305" spans="20:23" x14ac:dyDescent="0.3">
      <c r="T305">
        <v>5</v>
      </c>
      <c r="U305">
        <v>6</v>
      </c>
      <c r="V305">
        <v>13</v>
      </c>
      <c r="W305" cm="1">
        <f t="array" aca="1" ref="W305" ca="1">IF(AND(INDIRECT("B"&amp;(T305+70))="X",INDIRECT("B"&amp;(U305+70))="X",INDIRECT("B"&amp;(V305+70))="X"),1,0)+IF(AND(INDIRECT("C"&amp;(T305+70))="X",INDIRECT("C"&amp;(U305+70))="X",INDIRECT("C"&amp;(V305+70))="X"),1,0)+IF(AND(INDIRECT("D"&amp;(T305+70))="X",INDIRECT("D"&amp;(U305+70))="X",INDIRECT("D"&amp;(V305+70))="X"),1,0)+IF(AND(INDIRECT("E"&amp;(T305+70))="X",INDIRECT("E"&amp;(U305+70))="X",INDIRECT("E"&amp;(V305+70))="X"),1,0)+IF(AND(INDIRECT("F"&amp;(T305+70))="X",INDIRECT("F"&amp;(U305+70))="X",INDIRECT("F"&amp;(V305+70))="X"),1,0)+IF(AND(INDIRECT("G"&amp;(T305+70))="X",INDIRECT("G"&amp;(U305+70))="X",INDIRECT("G"&amp;(V305+70))="X"),1,0)+IF(AND(INDIRECT("H"&amp;(T305+70))="X",INDIRECT("H"&amp;(U305+70))="X",INDIRECT("H"&amp;(V305+70))="X"),1,0)+IF(AND(INDIRECT("I"&amp;(T305+70))="X",INDIRECT("I"&amp;(U305+70))="X",INDIRECT("I"&amp;(V305+70))="X"),1,0)+IF(AND(INDIRECT("J"&amp;(T305+70))="X",INDIRECT("J"&amp;(U305+70))="X",INDIRECT("J"&amp;(V305+70))="X"),1,0)+IF(AND(INDIRECT("K"&amp;(T305+70))="X",INDIRECT("K"&amp;(U305+70))="X",INDIRECT("K"&amp;(V305+70))="X"),1,0)+IF(AND(INDIRECT("L"&amp;(T305+70))="X",INDIRECT("L"&amp;(U305+70))="X",INDIRECT("L"&amp;(V305+70))="X"),1,0)+IF(AND(INDIRECT("M"&amp;(T305+70))="X",INDIRECT("M"&amp;(U305+70))="X",INDIRECT("M"&amp;(V305+70))="X"),1,0)+IF(AND(INDIRECT("N"&amp;(T305+70))="X",INDIRECT("N"&amp;(U305+70))="X",INDIRECT("N"&amp;(V305+70))="X"),1,0)+IF(AND(INDIRECT("O"&amp;(T305+70))="X",INDIRECT("O"&amp;(U305+70))="X",INDIRECT("O"&amp;(V305+70))="X"),1,0)+IF(AND(INDIRECT("P"&amp;(T305+70))="X",INDIRECT("P"&amp;(U305+70))="X",INDIRECT("P"&amp;(V305+70))="X"),1,0)+IF(AND(INDIRECT("Q"&amp;(T305+70))="X",INDIRECT("Q"&amp;(U305+70))="X",INDIRECT("Q"&amp;(V305+70))="X"),1,0)</f>
        <v>2</v>
      </c>
    </row>
    <row r="306" spans="20:23" x14ac:dyDescent="0.3">
      <c r="T306">
        <v>5</v>
      </c>
      <c r="U306">
        <v>6</v>
      </c>
      <c r="V306">
        <v>14</v>
      </c>
      <c r="W306" cm="1">
        <f t="array" aca="1" ref="W306" ca="1">IF(AND(INDIRECT("B"&amp;(T306+70))="X",INDIRECT("B"&amp;(U306+70))="X",INDIRECT("B"&amp;(V306+70))="X"),1,0)+IF(AND(INDIRECT("C"&amp;(T306+70))="X",INDIRECT("C"&amp;(U306+70))="X",INDIRECT("C"&amp;(V306+70))="X"),1,0)+IF(AND(INDIRECT("D"&amp;(T306+70))="X",INDIRECT("D"&amp;(U306+70))="X",INDIRECT("D"&amp;(V306+70))="X"),1,0)+IF(AND(INDIRECT("E"&amp;(T306+70))="X",INDIRECT("E"&amp;(U306+70))="X",INDIRECT("E"&amp;(V306+70))="X"),1,0)+IF(AND(INDIRECT("F"&amp;(T306+70))="X",INDIRECT("F"&amp;(U306+70))="X",INDIRECT("F"&amp;(V306+70))="X"),1,0)+IF(AND(INDIRECT("G"&amp;(T306+70))="X",INDIRECT("G"&amp;(U306+70))="X",INDIRECT("G"&amp;(V306+70))="X"),1,0)+IF(AND(INDIRECT("H"&amp;(T306+70))="X",INDIRECT("H"&amp;(U306+70))="X",INDIRECT("H"&amp;(V306+70))="X"),1,0)+IF(AND(INDIRECT("I"&amp;(T306+70))="X",INDIRECT("I"&amp;(U306+70))="X",INDIRECT("I"&amp;(V306+70))="X"),1,0)+IF(AND(INDIRECT("J"&amp;(T306+70))="X",INDIRECT("J"&amp;(U306+70))="X",INDIRECT("J"&amp;(V306+70))="X"),1,0)+IF(AND(INDIRECT("K"&amp;(T306+70))="X",INDIRECT("K"&amp;(U306+70))="X",INDIRECT("K"&amp;(V306+70))="X"),1,0)+IF(AND(INDIRECT("L"&amp;(T306+70))="X",INDIRECT("L"&amp;(U306+70))="X",INDIRECT("L"&amp;(V306+70))="X"),1,0)+IF(AND(INDIRECT("M"&amp;(T306+70))="X",INDIRECT("M"&amp;(U306+70))="X",INDIRECT("M"&amp;(V306+70))="X"),1,0)+IF(AND(INDIRECT("N"&amp;(T306+70))="X",INDIRECT("N"&amp;(U306+70))="X",INDIRECT("N"&amp;(V306+70))="X"),1,0)+IF(AND(INDIRECT("O"&amp;(T306+70))="X",INDIRECT("O"&amp;(U306+70))="X",INDIRECT("O"&amp;(V306+70))="X"),1,0)+IF(AND(INDIRECT("P"&amp;(T306+70))="X",INDIRECT("P"&amp;(U306+70))="X",INDIRECT("P"&amp;(V306+70))="X"),1,0)+IF(AND(INDIRECT("Q"&amp;(T306+70))="X",INDIRECT("Q"&amp;(U306+70))="X",INDIRECT("Q"&amp;(V306+70))="X"),1,0)</f>
        <v>1</v>
      </c>
    </row>
    <row r="307" spans="20:23" x14ac:dyDescent="0.3">
      <c r="T307">
        <v>5</v>
      </c>
      <c r="U307">
        <v>7</v>
      </c>
      <c r="V307">
        <v>8</v>
      </c>
      <c r="W307" cm="1">
        <f t="array" aca="1" ref="W307" ca="1">IF(AND(INDIRECT("B"&amp;(T307+70))="X",INDIRECT("B"&amp;(U307+70))="X",INDIRECT("B"&amp;(V307+70))="X"),1,0)+IF(AND(INDIRECT("C"&amp;(T307+70))="X",INDIRECT("C"&amp;(U307+70))="X",INDIRECT("C"&amp;(V307+70))="X"),1,0)+IF(AND(INDIRECT("D"&amp;(T307+70))="X",INDIRECT("D"&amp;(U307+70))="X",INDIRECT("D"&amp;(V307+70))="X"),1,0)+IF(AND(INDIRECT("E"&amp;(T307+70))="X",INDIRECT("E"&amp;(U307+70))="X",INDIRECT("E"&amp;(V307+70))="X"),1,0)+IF(AND(INDIRECT("F"&amp;(T307+70))="X",INDIRECT("F"&amp;(U307+70))="X",INDIRECT("F"&amp;(V307+70))="X"),1,0)+IF(AND(INDIRECT("G"&amp;(T307+70))="X",INDIRECT("G"&amp;(U307+70))="X",INDIRECT("G"&amp;(V307+70))="X"),1,0)+IF(AND(INDIRECT("H"&amp;(T307+70))="X",INDIRECT("H"&amp;(U307+70))="X",INDIRECT("H"&amp;(V307+70))="X"),1,0)+IF(AND(INDIRECT("I"&amp;(T307+70))="X",INDIRECT("I"&amp;(U307+70))="X",INDIRECT("I"&amp;(V307+70))="X"),1,0)+IF(AND(INDIRECT("J"&amp;(T307+70))="X",INDIRECT("J"&amp;(U307+70))="X",INDIRECT("J"&amp;(V307+70))="X"),1,0)+IF(AND(INDIRECT("K"&amp;(T307+70))="X",INDIRECT("K"&amp;(U307+70))="X",INDIRECT("K"&amp;(V307+70))="X"),1,0)+IF(AND(INDIRECT("L"&amp;(T307+70))="X",INDIRECT("L"&amp;(U307+70))="X",INDIRECT("L"&amp;(V307+70))="X"),1,0)+IF(AND(INDIRECT("M"&amp;(T307+70))="X",INDIRECT("M"&amp;(U307+70))="X",INDIRECT("M"&amp;(V307+70))="X"),1,0)+IF(AND(INDIRECT("N"&amp;(T307+70))="X",INDIRECT("N"&amp;(U307+70))="X",INDIRECT("N"&amp;(V307+70))="X"),1,0)+IF(AND(INDIRECT("O"&amp;(T307+70))="X",INDIRECT("O"&amp;(U307+70))="X",INDIRECT("O"&amp;(V307+70))="X"),1,0)+IF(AND(INDIRECT("P"&amp;(T307+70))="X",INDIRECT("P"&amp;(U307+70))="X",INDIRECT("P"&amp;(V307+70))="X"),1,0)+IF(AND(INDIRECT("Q"&amp;(T307+70))="X",INDIRECT("Q"&amp;(U307+70))="X",INDIRECT("Q"&amp;(V307+70))="X"),1,0)</f>
        <v>2</v>
      </c>
    </row>
    <row r="308" spans="20:23" x14ac:dyDescent="0.3">
      <c r="T308">
        <v>5</v>
      </c>
      <c r="U308">
        <v>7</v>
      </c>
      <c r="V308">
        <v>9</v>
      </c>
      <c r="W308" cm="1">
        <f t="array" aca="1" ref="W308" ca="1">IF(AND(INDIRECT("B"&amp;(T308+70))="X",INDIRECT("B"&amp;(U308+70))="X",INDIRECT("B"&amp;(V308+70))="X"),1,0)+IF(AND(INDIRECT("C"&amp;(T308+70))="X",INDIRECT("C"&amp;(U308+70))="X",INDIRECT("C"&amp;(V308+70))="X"),1,0)+IF(AND(INDIRECT("D"&amp;(T308+70))="X",INDIRECT("D"&amp;(U308+70))="X",INDIRECT("D"&amp;(V308+70))="X"),1,0)+IF(AND(INDIRECT("E"&amp;(T308+70))="X",INDIRECT("E"&amp;(U308+70))="X",INDIRECT("E"&amp;(V308+70))="X"),1,0)+IF(AND(INDIRECT("F"&amp;(T308+70))="X",INDIRECT("F"&amp;(U308+70))="X",INDIRECT("F"&amp;(V308+70))="X"),1,0)+IF(AND(INDIRECT("G"&amp;(T308+70))="X",INDIRECT("G"&amp;(U308+70))="X",INDIRECT("G"&amp;(V308+70))="X"),1,0)+IF(AND(INDIRECT("H"&amp;(T308+70))="X",INDIRECT("H"&amp;(U308+70))="X",INDIRECT("H"&amp;(V308+70))="X"),1,0)+IF(AND(INDIRECT("I"&amp;(T308+70))="X",INDIRECT("I"&amp;(U308+70))="X",INDIRECT("I"&amp;(V308+70))="X"),1,0)+IF(AND(INDIRECT("J"&amp;(T308+70))="X",INDIRECT("J"&amp;(U308+70))="X",INDIRECT("J"&amp;(V308+70))="X"),1,0)+IF(AND(INDIRECT("K"&amp;(T308+70))="X",INDIRECT("K"&amp;(U308+70))="X",INDIRECT("K"&amp;(V308+70))="X"),1,0)+IF(AND(INDIRECT("L"&amp;(T308+70))="X",INDIRECT("L"&amp;(U308+70))="X",INDIRECT("L"&amp;(V308+70))="X"),1,0)+IF(AND(INDIRECT("M"&amp;(T308+70))="X",INDIRECT("M"&amp;(U308+70))="X",INDIRECT("M"&amp;(V308+70))="X"),1,0)+IF(AND(INDIRECT("N"&amp;(T308+70))="X",INDIRECT("N"&amp;(U308+70))="X",INDIRECT("N"&amp;(V308+70))="X"),1,0)+IF(AND(INDIRECT("O"&amp;(T308+70))="X",INDIRECT("O"&amp;(U308+70))="X",INDIRECT("O"&amp;(V308+70))="X"),1,0)+IF(AND(INDIRECT("P"&amp;(T308+70))="X",INDIRECT("P"&amp;(U308+70))="X",INDIRECT("P"&amp;(V308+70))="X"),1,0)+IF(AND(INDIRECT("Q"&amp;(T308+70))="X",INDIRECT("Q"&amp;(U308+70))="X",INDIRECT("Q"&amp;(V308+70))="X"),1,0)</f>
        <v>2</v>
      </c>
    </row>
    <row r="309" spans="20:23" x14ac:dyDescent="0.3">
      <c r="T309">
        <v>5</v>
      </c>
      <c r="U309">
        <v>7</v>
      </c>
      <c r="V309">
        <v>10</v>
      </c>
      <c r="W309" cm="1">
        <f t="array" aca="1" ref="W309" ca="1">IF(AND(INDIRECT("B"&amp;(T309+70))="X",INDIRECT("B"&amp;(U309+70))="X",INDIRECT("B"&amp;(V309+70))="X"),1,0)+IF(AND(INDIRECT("C"&amp;(T309+70))="X",INDIRECT("C"&amp;(U309+70))="X",INDIRECT("C"&amp;(V309+70))="X"),1,0)+IF(AND(INDIRECT("D"&amp;(T309+70))="X",INDIRECT("D"&amp;(U309+70))="X",INDIRECT("D"&amp;(V309+70))="X"),1,0)+IF(AND(INDIRECT("E"&amp;(T309+70))="X",INDIRECT("E"&amp;(U309+70))="X",INDIRECT("E"&amp;(V309+70))="X"),1,0)+IF(AND(INDIRECT("F"&amp;(T309+70))="X",INDIRECT("F"&amp;(U309+70))="X",INDIRECT("F"&amp;(V309+70))="X"),1,0)+IF(AND(INDIRECT("G"&amp;(T309+70))="X",INDIRECT("G"&amp;(U309+70))="X",INDIRECT("G"&amp;(V309+70))="X"),1,0)+IF(AND(INDIRECT("H"&amp;(T309+70))="X",INDIRECT("H"&amp;(U309+70))="X",INDIRECT("H"&amp;(V309+70))="X"),1,0)+IF(AND(INDIRECT("I"&amp;(T309+70))="X",INDIRECT("I"&amp;(U309+70))="X",INDIRECT("I"&amp;(V309+70))="X"),1,0)+IF(AND(INDIRECT("J"&amp;(T309+70))="X",INDIRECT("J"&amp;(U309+70))="X",INDIRECT("J"&amp;(V309+70))="X"),1,0)+IF(AND(INDIRECT("K"&amp;(T309+70))="X",INDIRECT("K"&amp;(U309+70))="X",INDIRECT("K"&amp;(V309+70))="X"),1,0)+IF(AND(INDIRECT("L"&amp;(T309+70))="X",INDIRECT("L"&amp;(U309+70))="X",INDIRECT("L"&amp;(V309+70))="X"),1,0)+IF(AND(INDIRECT("M"&amp;(T309+70))="X",INDIRECT("M"&amp;(U309+70))="X",INDIRECT("M"&amp;(V309+70))="X"),1,0)+IF(AND(INDIRECT("N"&amp;(T309+70))="X",INDIRECT("N"&amp;(U309+70))="X",INDIRECT("N"&amp;(V309+70))="X"),1,0)+IF(AND(INDIRECT("O"&amp;(T309+70))="X",INDIRECT("O"&amp;(U309+70))="X",INDIRECT("O"&amp;(V309+70))="X"),1,0)+IF(AND(INDIRECT("P"&amp;(T309+70))="X",INDIRECT("P"&amp;(U309+70))="X",INDIRECT("P"&amp;(V309+70))="X"),1,0)+IF(AND(INDIRECT("Q"&amp;(T309+70))="X",INDIRECT("Q"&amp;(U309+70))="X",INDIRECT("Q"&amp;(V309+70))="X"),1,0)</f>
        <v>1</v>
      </c>
    </row>
    <row r="310" spans="20:23" x14ac:dyDescent="0.3">
      <c r="T310">
        <v>5</v>
      </c>
      <c r="U310">
        <v>7</v>
      </c>
      <c r="V310">
        <v>11</v>
      </c>
      <c r="W310" cm="1">
        <f t="array" aca="1" ref="W310" ca="1">IF(AND(INDIRECT("B"&amp;(T310+70))="X",INDIRECT("B"&amp;(U310+70))="X",INDIRECT("B"&amp;(V310+70))="X"),1,0)+IF(AND(INDIRECT("C"&amp;(T310+70))="X",INDIRECT("C"&amp;(U310+70))="X",INDIRECT("C"&amp;(V310+70))="X"),1,0)+IF(AND(INDIRECT("D"&amp;(T310+70))="X",INDIRECT("D"&amp;(U310+70))="X",INDIRECT("D"&amp;(V310+70))="X"),1,0)+IF(AND(INDIRECT("E"&amp;(T310+70))="X",INDIRECT("E"&amp;(U310+70))="X",INDIRECT("E"&amp;(V310+70))="X"),1,0)+IF(AND(INDIRECT("F"&amp;(T310+70))="X",INDIRECT("F"&amp;(U310+70))="X",INDIRECT("F"&amp;(V310+70))="X"),1,0)+IF(AND(INDIRECT("G"&amp;(T310+70))="X",INDIRECT("G"&amp;(U310+70))="X",INDIRECT("G"&amp;(V310+70))="X"),1,0)+IF(AND(INDIRECT("H"&amp;(T310+70))="X",INDIRECT("H"&amp;(U310+70))="X",INDIRECT("H"&amp;(V310+70))="X"),1,0)+IF(AND(INDIRECT("I"&amp;(T310+70))="X",INDIRECT("I"&amp;(U310+70))="X",INDIRECT("I"&amp;(V310+70))="X"),1,0)+IF(AND(INDIRECT("J"&amp;(T310+70))="X",INDIRECT("J"&amp;(U310+70))="X",INDIRECT("J"&amp;(V310+70))="X"),1,0)+IF(AND(INDIRECT("K"&amp;(T310+70))="X",INDIRECT("K"&amp;(U310+70))="X",INDIRECT("K"&amp;(V310+70))="X"),1,0)+IF(AND(INDIRECT("L"&amp;(T310+70))="X",INDIRECT("L"&amp;(U310+70))="X",INDIRECT("L"&amp;(V310+70))="X"),1,0)+IF(AND(INDIRECT("M"&amp;(T310+70))="X",INDIRECT("M"&amp;(U310+70))="X",INDIRECT("M"&amp;(V310+70))="X"),1,0)+IF(AND(INDIRECT("N"&amp;(T310+70))="X",INDIRECT("N"&amp;(U310+70))="X",INDIRECT("N"&amp;(V310+70))="X"),1,0)+IF(AND(INDIRECT("O"&amp;(T310+70))="X",INDIRECT("O"&amp;(U310+70))="X",INDIRECT("O"&amp;(V310+70))="X"),1,0)+IF(AND(INDIRECT("P"&amp;(T310+70))="X",INDIRECT("P"&amp;(U310+70))="X",INDIRECT("P"&amp;(V310+70))="X"),1,0)+IF(AND(INDIRECT("Q"&amp;(T310+70))="X",INDIRECT("Q"&amp;(U310+70))="X",INDIRECT("Q"&amp;(V310+70))="X"),1,0)</f>
        <v>2</v>
      </c>
    </row>
    <row r="311" spans="20:23" x14ac:dyDescent="0.3">
      <c r="T311">
        <v>5</v>
      </c>
      <c r="U311">
        <v>7</v>
      </c>
      <c r="V311">
        <v>12</v>
      </c>
      <c r="W311" cm="1">
        <f t="array" aca="1" ref="W311" ca="1">IF(AND(INDIRECT("B"&amp;(T311+70))="X",INDIRECT("B"&amp;(U311+70))="X",INDIRECT("B"&amp;(V311+70))="X"),1,0)+IF(AND(INDIRECT("C"&amp;(T311+70))="X",INDIRECT("C"&amp;(U311+70))="X",INDIRECT("C"&amp;(V311+70))="X"),1,0)+IF(AND(INDIRECT("D"&amp;(T311+70))="X",INDIRECT("D"&amp;(U311+70))="X",INDIRECT("D"&amp;(V311+70))="X"),1,0)+IF(AND(INDIRECT("E"&amp;(T311+70))="X",INDIRECT("E"&amp;(U311+70))="X",INDIRECT("E"&amp;(V311+70))="X"),1,0)+IF(AND(INDIRECT("F"&amp;(T311+70))="X",INDIRECT("F"&amp;(U311+70))="X",INDIRECT("F"&amp;(V311+70))="X"),1,0)+IF(AND(INDIRECT("G"&amp;(T311+70))="X",INDIRECT("G"&amp;(U311+70))="X",INDIRECT("G"&amp;(V311+70))="X"),1,0)+IF(AND(INDIRECT("H"&amp;(T311+70))="X",INDIRECT("H"&amp;(U311+70))="X",INDIRECT("H"&amp;(V311+70))="X"),1,0)+IF(AND(INDIRECT("I"&amp;(T311+70))="X",INDIRECT("I"&amp;(U311+70))="X",INDIRECT("I"&amp;(V311+70))="X"),1,0)+IF(AND(INDIRECT("J"&amp;(T311+70))="X",INDIRECT("J"&amp;(U311+70))="X",INDIRECT("J"&amp;(V311+70))="X"),1,0)+IF(AND(INDIRECT("K"&amp;(T311+70))="X",INDIRECT("K"&amp;(U311+70))="X",INDIRECT("K"&amp;(V311+70))="X"),1,0)+IF(AND(INDIRECT("L"&amp;(T311+70))="X",INDIRECT("L"&amp;(U311+70))="X",INDIRECT("L"&amp;(V311+70))="X"),1,0)+IF(AND(INDIRECT("M"&amp;(T311+70))="X",INDIRECT("M"&amp;(U311+70))="X",INDIRECT("M"&amp;(V311+70))="X"),1,0)+IF(AND(INDIRECT("N"&amp;(T311+70))="X",INDIRECT("N"&amp;(U311+70))="X",INDIRECT("N"&amp;(V311+70))="X"),1,0)+IF(AND(INDIRECT("O"&amp;(T311+70))="X",INDIRECT("O"&amp;(U311+70))="X",INDIRECT("O"&amp;(V311+70))="X"),1,0)+IF(AND(INDIRECT("P"&amp;(T311+70))="X",INDIRECT("P"&amp;(U311+70))="X",INDIRECT("P"&amp;(V311+70))="X"),1,0)+IF(AND(INDIRECT("Q"&amp;(T311+70))="X",INDIRECT("Q"&amp;(U311+70))="X",INDIRECT("Q"&amp;(V311+70))="X"),1,0)</f>
        <v>2</v>
      </c>
    </row>
    <row r="312" spans="20:23" x14ac:dyDescent="0.3">
      <c r="T312">
        <v>5</v>
      </c>
      <c r="U312">
        <v>7</v>
      </c>
      <c r="V312">
        <v>13</v>
      </c>
      <c r="W312" cm="1">
        <f t="array" aca="1" ref="W312" ca="1">IF(AND(INDIRECT("B"&amp;(T312+70))="X",INDIRECT("B"&amp;(U312+70))="X",INDIRECT("B"&amp;(V312+70))="X"),1,0)+IF(AND(INDIRECT("C"&amp;(T312+70))="X",INDIRECT("C"&amp;(U312+70))="X",INDIRECT("C"&amp;(V312+70))="X"),1,0)+IF(AND(INDIRECT("D"&amp;(T312+70))="X",INDIRECT("D"&amp;(U312+70))="X",INDIRECT("D"&amp;(V312+70))="X"),1,0)+IF(AND(INDIRECT("E"&amp;(T312+70))="X",INDIRECT("E"&amp;(U312+70))="X",INDIRECT("E"&amp;(V312+70))="X"),1,0)+IF(AND(INDIRECT("F"&amp;(T312+70))="X",INDIRECT("F"&amp;(U312+70))="X",INDIRECT("F"&amp;(V312+70))="X"),1,0)+IF(AND(INDIRECT("G"&amp;(T312+70))="X",INDIRECT("G"&amp;(U312+70))="X",INDIRECT("G"&amp;(V312+70))="X"),1,0)+IF(AND(INDIRECT("H"&amp;(T312+70))="X",INDIRECT("H"&amp;(U312+70))="X",INDIRECT("H"&amp;(V312+70))="X"),1,0)+IF(AND(INDIRECT("I"&amp;(T312+70))="X",INDIRECT("I"&amp;(U312+70))="X",INDIRECT("I"&amp;(V312+70))="X"),1,0)+IF(AND(INDIRECT("J"&amp;(T312+70))="X",INDIRECT("J"&amp;(U312+70))="X",INDIRECT("J"&amp;(V312+70))="X"),1,0)+IF(AND(INDIRECT("K"&amp;(T312+70))="X",INDIRECT("K"&amp;(U312+70))="X",INDIRECT("K"&amp;(V312+70))="X"),1,0)+IF(AND(INDIRECT("L"&amp;(T312+70))="X",INDIRECT("L"&amp;(U312+70))="X",INDIRECT("L"&amp;(V312+70))="X"),1,0)+IF(AND(INDIRECT("M"&amp;(T312+70))="X",INDIRECT("M"&amp;(U312+70))="X",INDIRECT("M"&amp;(V312+70))="X"),1,0)+IF(AND(INDIRECT("N"&amp;(T312+70))="X",INDIRECT("N"&amp;(U312+70))="X",INDIRECT("N"&amp;(V312+70))="X"),1,0)+IF(AND(INDIRECT("O"&amp;(T312+70))="X",INDIRECT("O"&amp;(U312+70))="X",INDIRECT("O"&amp;(V312+70))="X"),1,0)+IF(AND(INDIRECT("P"&amp;(T312+70))="X",INDIRECT("P"&amp;(U312+70))="X",INDIRECT("P"&amp;(V312+70))="X"),1,0)+IF(AND(INDIRECT("Q"&amp;(T312+70))="X",INDIRECT("Q"&amp;(U312+70))="X",INDIRECT("Q"&amp;(V312+70))="X"),1,0)</f>
        <v>1</v>
      </c>
    </row>
    <row r="313" spans="20:23" x14ac:dyDescent="0.3">
      <c r="T313">
        <v>5</v>
      </c>
      <c r="U313">
        <v>7</v>
      </c>
      <c r="V313">
        <v>14</v>
      </c>
      <c r="W313" cm="1">
        <f t="array" aca="1" ref="W313" ca="1">IF(AND(INDIRECT("B"&amp;(T313+70))="X",INDIRECT("B"&amp;(U313+70))="X",INDIRECT("B"&amp;(V313+70))="X"),1,0)+IF(AND(INDIRECT("C"&amp;(T313+70))="X",INDIRECT("C"&amp;(U313+70))="X",INDIRECT("C"&amp;(V313+70))="X"),1,0)+IF(AND(INDIRECT("D"&amp;(T313+70))="X",INDIRECT("D"&amp;(U313+70))="X",INDIRECT("D"&amp;(V313+70))="X"),1,0)+IF(AND(INDIRECT("E"&amp;(T313+70))="X",INDIRECT("E"&amp;(U313+70))="X",INDIRECT("E"&amp;(V313+70))="X"),1,0)+IF(AND(INDIRECT("F"&amp;(T313+70))="X",INDIRECT("F"&amp;(U313+70))="X",INDIRECT("F"&amp;(V313+70))="X"),1,0)+IF(AND(INDIRECT("G"&amp;(T313+70))="X",INDIRECT("G"&amp;(U313+70))="X",INDIRECT("G"&amp;(V313+70))="X"),1,0)+IF(AND(INDIRECT("H"&amp;(T313+70))="X",INDIRECT("H"&amp;(U313+70))="X",INDIRECT("H"&amp;(V313+70))="X"),1,0)+IF(AND(INDIRECT("I"&amp;(T313+70))="X",INDIRECT("I"&amp;(U313+70))="X",INDIRECT("I"&amp;(V313+70))="X"),1,0)+IF(AND(INDIRECT("J"&amp;(T313+70))="X",INDIRECT("J"&amp;(U313+70))="X",INDIRECT("J"&amp;(V313+70))="X"),1,0)+IF(AND(INDIRECT("K"&amp;(T313+70))="X",INDIRECT("K"&amp;(U313+70))="X",INDIRECT("K"&amp;(V313+70))="X"),1,0)+IF(AND(INDIRECT("L"&amp;(T313+70))="X",INDIRECT("L"&amp;(U313+70))="X",INDIRECT("L"&amp;(V313+70))="X"),1,0)+IF(AND(INDIRECT("M"&amp;(T313+70))="X",INDIRECT("M"&amp;(U313+70))="X",INDIRECT("M"&amp;(V313+70))="X"),1,0)+IF(AND(INDIRECT("N"&amp;(T313+70))="X",INDIRECT("N"&amp;(U313+70))="X",INDIRECT("N"&amp;(V313+70))="X"),1,0)+IF(AND(INDIRECT("O"&amp;(T313+70))="X",INDIRECT("O"&amp;(U313+70))="X",INDIRECT("O"&amp;(V313+70))="X"),1,0)+IF(AND(INDIRECT("P"&amp;(T313+70))="X",INDIRECT("P"&amp;(U313+70))="X",INDIRECT("P"&amp;(V313+70))="X"),1,0)+IF(AND(INDIRECT("Q"&amp;(T313+70))="X",INDIRECT("Q"&amp;(U313+70))="X",INDIRECT("Q"&amp;(V313+70))="X"),1,0)</f>
        <v>1</v>
      </c>
    </row>
    <row r="314" spans="20:23" x14ac:dyDescent="0.3">
      <c r="T314">
        <v>5</v>
      </c>
      <c r="U314">
        <v>8</v>
      </c>
      <c r="V314">
        <v>9</v>
      </c>
      <c r="W314" cm="1">
        <f t="array" aca="1" ref="W314" ca="1">IF(AND(INDIRECT("B"&amp;(T314+70))="X",INDIRECT("B"&amp;(U314+70))="X",INDIRECT("B"&amp;(V314+70))="X"),1,0)+IF(AND(INDIRECT("C"&amp;(T314+70))="X",INDIRECT("C"&amp;(U314+70))="X",INDIRECT("C"&amp;(V314+70))="X"),1,0)+IF(AND(INDIRECT("D"&amp;(T314+70))="X",INDIRECT("D"&amp;(U314+70))="X",INDIRECT("D"&amp;(V314+70))="X"),1,0)+IF(AND(INDIRECT("E"&amp;(T314+70))="X",INDIRECT("E"&amp;(U314+70))="X",INDIRECT("E"&amp;(V314+70))="X"),1,0)+IF(AND(INDIRECT("F"&amp;(T314+70))="X",INDIRECT("F"&amp;(U314+70))="X",INDIRECT("F"&amp;(V314+70))="X"),1,0)+IF(AND(INDIRECT("G"&amp;(T314+70))="X",INDIRECT("G"&amp;(U314+70))="X",INDIRECT("G"&amp;(V314+70))="X"),1,0)+IF(AND(INDIRECT("H"&amp;(T314+70))="X",INDIRECT("H"&amp;(U314+70))="X",INDIRECT("H"&amp;(V314+70))="X"),1,0)+IF(AND(INDIRECT("I"&amp;(T314+70))="X",INDIRECT("I"&amp;(U314+70))="X",INDIRECT("I"&amp;(V314+70))="X"),1,0)+IF(AND(INDIRECT("J"&amp;(T314+70))="X",INDIRECT("J"&amp;(U314+70))="X",INDIRECT("J"&amp;(V314+70))="X"),1,0)+IF(AND(INDIRECT("K"&amp;(T314+70))="X",INDIRECT("K"&amp;(U314+70))="X",INDIRECT("K"&amp;(V314+70))="X"),1,0)+IF(AND(INDIRECT("L"&amp;(T314+70))="X",INDIRECT("L"&amp;(U314+70))="X",INDIRECT("L"&amp;(V314+70))="X"),1,0)+IF(AND(INDIRECT("M"&amp;(T314+70))="X",INDIRECT("M"&amp;(U314+70))="X",INDIRECT("M"&amp;(V314+70))="X"),1,0)+IF(AND(INDIRECT("N"&amp;(T314+70))="X",INDIRECT("N"&amp;(U314+70))="X",INDIRECT("N"&amp;(V314+70))="X"),1,0)+IF(AND(INDIRECT("O"&amp;(T314+70))="X",INDIRECT("O"&amp;(U314+70))="X",INDIRECT("O"&amp;(V314+70))="X"),1,0)+IF(AND(INDIRECT("P"&amp;(T314+70))="X",INDIRECT("P"&amp;(U314+70))="X",INDIRECT("P"&amp;(V314+70))="X"),1,0)+IF(AND(INDIRECT("Q"&amp;(T314+70))="X",INDIRECT("Q"&amp;(U314+70))="X",INDIRECT("Q"&amp;(V314+70))="X"),1,0)</f>
        <v>1</v>
      </c>
    </row>
    <row r="315" spans="20:23" x14ac:dyDescent="0.3">
      <c r="T315">
        <v>5</v>
      </c>
      <c r="U315">
        <v>8</v>
      </c>
      <c r="V315">
        <v>10</v>
      </c>
      <c r="W315" cm="1">
        <f t="array" aca="1" ref="W315" ca="1">IF(AND(INDIRECT("B"&amp;(T315+70))="X",INDIRECT("B"&amp;(U315+70))="X",INDIRECT("B"&amp;(V315+70))="X"),1,0)+IF(AND(INDIRECT("C"&amp;(T315+70))="X",INDIRECT("C"&amp;(U315+70))="X",INDIRECT("C"&amp;(V315+70))="X"),1,0)+IF(AND(INDIRECT("D"&amp;(T315+70))="X",INDIRECT("D"&amp;(U315+70))="X",INDIRECT("D"&amp;(V315+70))="X"),1,0)+IF(AND(INDIRECT("E"&amp;(T315+70))="X",INDIRECT("E"&amp;(U315+70))="X",INDIRECT("E"&amp;(V315+70))="X"),1,0)+IF(AND(INDIRECT("F"&amp;(T315+70))="X",INDIRECT("F"&amp;(U315+70))="X",INDIRECT("F"&amp;(V315+70))="X"),1,0)+IF(AND(INDIRECT("G"&amp;(T315+70))="X",INDIRECT("G"&amp;(U315+70))="X",INDIRECT("G"&amp;(V315+70))="X"),1,0)+IF(AND(INDIRECT("H"&amp;(T315+70))="X",INDIRECT("H"&amp;(U315+70))="X",INDIRECT("H"&amp;(V315+70))="X"),1,0)+IF(AND(INDIRECT("I"&amp;(T315+70))="X",INDIRECT("I"&amp;(U315+70))="X",INDIRECT("I"&amp;(V315+70))="X"),1,0)+IF(AND(INDIRECT("J"&amp;(T315+70))="X",INDIRECT("J"&amp;(U315+70))="X",INDIRECT("J"&amp;(V315+70))="X"),1,0)+IF(AND(INDIRECT("K"&amp;(T315+70))="X",INDIRECT("K"&amp;(U315+70))="X",INDIRECT("K"&amp;(V315+70))="X"),1,0)+IF(AND(INDIRECT("L"&amp;(T315+70))="X",INDIRECT("L"&amp;(U315+70))="X",INDIRECT("L"&amp;(V315+70))="X"),1,0)+IF(AND(INDIRECT("M"&amp;(T315+70))="X",INDIRECT("M"&amp;(U315+70))="X",INDIRECT("M"&amp;(V315+70))="X"),1,0)+IF(AND(INDIRECT("N"&amp;(T315+70))="X",INDIRECT("N"&amp;(U315+70))="X",INDIRECT("N"&amp;(V315+70))="X"),1,0)+IF(AND(INDIRECT("O"&amp;(T315+70))="X",INDIRECT("O"&amp;(U315+70))="X",INDIRECT("O"&amp;(V315+70))="X"),1,0)+IF(AND(INDIRECT("P"&amp;(T315+70))="X",INDIRECT("P"&amp;(U315+70))="X",INDIRECT("P"&amp;(V315+70))="X"),1,0)+IF(AND(INDIRECT("Q"&amp;(T315+70))="X",INDIRECT("Q"&amp;(U315+70))="X",INDIRECT("Q"&amp;(V315+70))="X"),1,0)</f>
        <v>2</v>
      </c>
    </row>
    <row r="316" spans="20:23" x14ac:dyDescent="0.3">
      <c r="T316">
        <v>5</v>
      </c>
      <c r="U316">
        <v>8</v>
      </c>
      <c r="V316">
        <v>11</v>
      </c>
      <c r="W316" cm="1">
        <f t="array" aca="1" ref="W316" ca="1">IF(AND(INDIRECT("B"&amp;(T316+70))="X",INDIRECT("B"&amp;(U316+70))="X",INDIRECT("B"&amp;(V316+70))="X"),1,0)+IF(AND(INDIRECT("C"&amp;(T316+70))="X",INDIRECT("C"&amp;(U316+70))="X",INDIRECT("C"&amp;(V316+70))="X"),1,0)+IF(AND(INDIRECT("D"&amp;(T316+70))="X",INDIRECT("D"&amp;(U316+70))="X",INDIRECT("D"&amp;(V316+70))="X"),1,0)+IF(AND(INDIRECT("E"&amp;(T316+70))="X",INDIRECT("E"&amp;(U316+70))="X",INDIRECT("E"&amp;(V316+70))="X"),1,0)+IF(AND(INDIRECT("F"&amp;(T316+70))="X",INDIRECT("F"&amp;(U316+70))="X",INDIRECT("F"&amp;(V316+70))="X"),1,0)+IF(AND(INDIRECT("G"&amp;(T316+70))="X",INDIRECT("G"&amp;(U316+70))="X",INDIRECT("G"&amp;(V316+70))="X"),1,0)+IF(AND(INDIRECT("H"&amp;(T316+70))="X",INDIRECT("H"&amp;(U316+70))="X",INDIRECT("H"&amp;(V316+70))="X"),1,0)+IF(AND(INDIRECT("I"&amp;(T316+70))="X",INDIRECT("I"&amp;(U316+70))="X",INDIRECT("I"&amp;(V316+70))="X"),1,0)+IF(AND(INDIRECT("J"&amp;(T316+70))="X",INDIRECT("J"&amp;(U316+70))="X",INDIRECT("J"&amp;(V316+70))="X"),1,0)+IF(AND(INDIRECT("K"&amp;(T316+70))="X",INDIRECT("K"&amp;(U316+70))="X",INDIRECT("K"&amp;(V316+70))="X"),1,0)+IF(AND(INDIRECT("L"&amp;(T316+70))="X",INDIRECT("L"&amp;(U316+70))="X",INDIRECT("L"&amp;(V316+70))="X"),1,0)+IF(AND(INDIRECT("M"&amp;(T316+70))="X",INDIRECT("M"&amp;(U316+70))="X",INDIRECT("M"&amp;(V316+70))="X"),1,0)+IF(AND(INDIRECT("N"&amp;(T316+70))="X",INDIRECT("N"&amp;(U316+70))="X",INDIRECT("N"&amp;(V316+70))="X"),1,0)+IF(AND(INDIRECT("O"&amp;(T316+70))="X",INDIRECT("O"&amp;(U316+70))="X",INDIRECT("O"&amp;(V316+70))="X"),1,0)+IF(AND(INDIRECT("P"&amp;(T316+70))="X",INDIRECT("P"&amp;(U316+70))="X",INDIRECT("P"&amp;(V316+70))="X"),1,0)+IF(AND(INDIRECT("Q"&amp;(T316+70))="X",INDIRECT("Q"&amp;(U316+70))="X",INDIRECT("Q"&amp;(V316+70))="X"),1,0)</f>
        <v>0</v>
      </c>
    </row>
    <row r="317" spans="20:23" x14ac:dyDescent="0.3">
      <c r="T317">
        <v>5</v>
      </c>
      <c r="U317">
        <v>8</v>
      </c>
      <c r="V317">
        <v>12</v>
      </c>
      <c r="W317" cm="1">
        <f t="array" aca="1" ref="W317" ca="1">IF(AND(INDIRECT("B"&amp;(T317+70))="X",INDIRECT("B"&amp;(U317+70))="X",INDIRECT("B"&amp;(V317+70))="X"),1,0)+IF(AND(INDIRECT("C"&amp;(T317+70))="X",INDIRECT("C"&amp;(U317+70))="X",INDIRECT("C"&amp;(V317+70))="X"),1,0)+IF(AND(INDIRECT("D"&amp;(T317+70))="X",INDIRECT("D"&amp;(U317+70))="X",INDIRECT("D"&amp;(V317+70))="X"),1,0)+IF(AND(INDIRECT("E"&amp;(T317+70))="X",INDIRECT("E"&amp;(U317+70))="X",INDIRECT("E"&amp;(V317+70))="X"),1,0)+IF(AND(INDIRECT("F"&amp;(T317+70))="X",INDIRECT("F"&amp;(U317+70))="X",INDIRECT("F"&amp;(V317+70))="X"),1,0)+IF(AND(INDIRECT("G"&amp;(T317+70))="X",INDIRECT("G"&amp;(U317+70))="X",INDIRECT("G"&amp;(V317+70))="X"),1,0)+IF(AND(INDIRECT("H"&amp;(T317+70))="X",INDIRECT("H"&amp;(U317+70))="X",INDIRECT("H"&amp;(V317+70))="X"),1,0)+IF(AND(INDIRECT("I"&amp;(T317+70))="X",INDIRECT("I"&amp;(U317+70))="X",INDIRECT("I"&amp;(V317+70))="X"),1,0)+IF(AND(INDIRECT("J"&amp;(T317+70))="X",INDIRECT("J"&amp;(U317+70))="X",INDIRECT("J"&amp;(V317+70))="X"),1,0)+IF(AND(INDIRECT("K"&amp;(T317+70))="X",INDIRECT("K"&amp;(U317+70))="X",INDIRECT("K"&amp;(V317+70))="X"),1,0)+IF(AND(INDIRECT("L"&amp;(T317+70))="X",INDIRECT("L"&amp;(U317+70))="X",INDIRECT("L"&amp;(V317+70))="X"),1,0)+IF(AND(INDIRECT("M"&amp;(T317+70))="X",INDIRECT("M"&amp;(U317+70))="X",INDIRECT("M"&amp;(V317+70))="X"),1,0)+IF(AND(INDIRECT("N"&amp;(T317+70))="X",INDIRECT("N"&amp;(U317+70))="X",INDIRECT("N"&amp;(V317+70))="X"),1,0)+IF(AND(INDIRECT("O"&amp;(T317+70))="X",INDIRECT("O"&amp;(U317+70))="X",INDIRECT("O"&amp;(V317+70))="X"),1,0)+IF(AND(INDIRECT("P"&amp;(T317+70))="X",INDIRECT("P"&amp;(U317+70))="X",INDIRECT("P"&amp;(V317+70))="X"),1,0)+IF(AND(INDIRECT("Q"&amp;(T317+70))="X",INDIRECT("Q"&amp;(U317+70))="X",INDIRECT("Q"&amp;(V317+70))="X"),1,0)</f>
        <v>2</v>
      </c>
    </row>
    <row r="318" spans="20:23" x14ac:dyDescent="0.3">
      <c r="T318">
        <v>5</v>
      </c>
      <c r="U318">
        <v>8</v>
      </c>
      <c r="V318">
        <v>13</v>
      </c>
      <c r="W318" cm="1">
        <f t="array" aca="1" ref="W318" ca="1">IF(AND(INDIRECT("B"&amp;(T318+70))="X",INDIRECT("B"&amp;(U318+70))="X",INDIRECT("B"&amp;(V318+70))="X"),1,0)+IF(AND(INDIRECT("C"&amp;(T318+70))="X",INDIRECT("C"&amp;(U318+70))="X",INDIRECT("C"&amp;(V318+70))="X"),1,0)+IF(AND(INDIRECT("D"&amp;(T318+70))="X",INDIRECT("D"&amp;(U318+70))="X",INDIRECT("D"&amp;(V318+70))="X"),1,0)+IF(AND(INDIRECT("E"&amp;(T318+70))="X",INDIRECT("E"&amp;(U318+70))="X",INDIRECT("E"&amp;(V318+70))="X"),1,0)+IF(AND(INDIRECT("F"&amp;(T318+70))="X",INDIRECT("F"&amp;(U318+70))="X",INDIRECT("F"&amp;(V318+70))="X"),1,0)+IF(AND(INDIRECT("G"&amp;(T318+70))="X",INDIRECT("G"&amp;(U318+70))="X",INDIRECT("G"&amp;(V318+70))="X"),1,0)+IF(AND(INDIRECT("H"&amp;(T318+70))="X",INDIRECT("H"&amp;(U318+70))="X",INDIRECT("H"&amp;(V318+70))="X"),1,0)+IF(AND(INDIRECT("I"&amp;(T318+70))="X",INDIRECT("I"&amp;(U318+70))="X",INDIRECT("I"&amp;(V318+70))="X"),1,0)+IF(AND(INDIRECT("J"&amp;(T318+70))="X",INDIRECT("J"&amp;(U318+70))="X",INDIRECT("J"&amp;(V318+70))="X"),1,0)+IF(AND(INDIRECT("K"&amp;(T318+70))="X",INDIRECT("K"&amp;(U318+70))="X",INDIRECT("K"&amp;(V318+70))="X"),1,0)+IF(AND(INDIRECT("L"&amp;(T318+70))="X",INDIRECT("L"&amp;(U318+70))="X",INDIRECT("L"&amp;(V318+70))="X"),1,0)+IF(AND(INDIRECT("M"&amp;(T318+70))="X",INDIRECT("M"&amp;(U318+70))="X",INDIRECT("M"&amp;(V318+70))="X"),1,0)+IF(AND(INDIRECT("N"&amp;(T318+70))="X",INDIRECT("N"&amp;(U318+70))="X",INDIRECT("N"&amp;(V318+70))="X"),1,0)+IF(AND(INDIRECT("O"&amp;(T318+70))="X",INDIRECT("O"&amp;(U318+70))="X",INDIRECT("O"&amp;(V318+70))="X"),1,0)+IF(AND(INDIRECT("P"&amp;(T318+70))="X",INDIRECT("P"&amp;(U318+70))="X",INDIRECT("P"&amp;(V318+70))="X"),1,0)+IF(AND(INDIRECT("Q"&amp;(T318+70))="X",INDIRECT("Q"&amp;(U318+70))="X",INDIRECT("Q"&amp;(V318+70))="X"),1,0)</f>
        <v>1</v>
      </c>
    </row>
    <row r="319" spans="20:23" x14ac:dyDescent="0.3">
      <c r="T319">
        <v>5</v>
      </c>
      <c r="U319">
        <v>8</v>
      </c>
      <c r="V319">
        <v>14</v>
      </c>
      <c r="W319" cm="1">
        <f t="array" aca="1" ref="W319" ca="1">IF(AND(INDIRECT("B"&amp;(T319+70))="X",INDIRECT("B"&amp;(U319+70))="X",INDIRECT("B"&amp;(V319+70))="X"),1,0)+IF(AND(INDIRECT("C"&amp;(T319+70))="X",INDIRECT("C"&amp;(U319+70))="X",INDIRECT("C"&amp;(V319+70))="X"),1,0)+IF(AND(INDIRECT("D"&amp;(T319+70))="X",INDIRECT("D"&amp;(U319+70))="X",INDIRECT("D"&amp;(V319+70))="X"),1,0)+IF(AND(INDIRECT("E"&amp;(T319+70))="X",INDIRECT("E"&amp;(U319+70))="X",INDIRECT("E"&amp;(V319+70))="X"),1,0)+IF(AND(INDIRECT("F"&amp;(T319+70))="X",INDIRECT("F"&amp;(U319+70))="X",INDIRECT("F"&amp;(V319+70))="X"),1,0)+IF(AND(INDIRECT("G"&amp;(T319+70))="X",INDIRECT("G"&amp;(U319+70))="X",INDIRECT("G"&amp;(V319+70))="X"),1,0)+IF(AND(INDIRECT("H"&amp;(T319+70))="X",INDIRECT("H"&amp;(U319+70))="X",INDIRECT("H"&amp;(V319+70))="X"),1,0)+IF(AND(INDIRECT("I"&amp;(T319+70))="X",INDIRECT("I"&amp;(U319+70))="X",INDIRECT("I"&amp;(V319+70))="X"),1,0)+IF(AND(INDIRECT("J"&amp;(T319+70))="X",INDIRECT("J"&amp;(U319+70))="X",INDIRECT("J"&amp;(V319+70))="X"),1,0)+IF(AND(INDIRECT("K"&amp;(T319+70))="X",INDIRECT("K"&amp;(U319+70))="X",INDIRECT("K"&amp;(V319+70))="X"),1,0)+IF(AND(INDIRECT("L"&amp;(T319+70))="X",INDIRECT("L"&amp;(U319+70))="X",INDIRECT("L"&amp;(V319+70))="X"),1,0)+IF(AND(INDIRECT("M"&amp;(T319+70))="X",INDIRECT("M"&amp;(U319+70))="X",INDIRECT("M"&amp;(V319+70))="X"),1,0)+IF(AND(INDIRECT("N"&amp;(T319+70))="X",INDIRECT("N"&amp;(U319+70))="X",INDIRECT("N"&amp;(V319+70))="X"),1,0)+IF(AND(INDIRECT("O"&amp;(T319+70))="X",INDIRECT("O"&amp;(U319+70))="X",INDIRECT("O"&amp;(V319+70))="X"),1,0)+IF(AND(INDIRECT("P"&amp;(T319+70))="X",INDIRECT("P"&amp;(U319+70))="X",INDIRECT("P"&amp;(V319+70))="X"),1,0)+IF(AND(INDIRECT("Q"&amp;(T319+70))="X",INDIRECT("Q"&amp;(U319+70))="X",INDIRECT("Q"&amp;(V319+70))="X"),1,0)</f>
        <v>2</v>
      </c>
    </row>
    <row r="320" spans="20:23" x14ac:dyDescent="0.3">
      <c r="T320">
        <v>5</v>
      </c>
      <c r="U320">
        <v>9</v>
      </c>
      <c r="V320">
        <v>10</v>
      </c>
      <c r="W320" cm="1">
        <f t="array" aca="1" ref="W320" ca="1">IF(AND(INDIRECT("B"&amp;(T320+70))="X",INDIRECT("B"&amp;(U320+70))="X",INDIRECT("B"&amp;(V320+70))="X"),1,0)+IF(AND(INDIRECT("C"&amp;(T320+70))="X",INDIRECT("C"&amp;(U320+70))="X",INDIRECT("C"&amp;(V320+70))="X"),1,0)+IF(AND(INDIRECT("D"&amp;(T320+70))="X",INDIRECT("D"&amp;(U320+70))="X",INDIRECT("D"&amp;(V320+70))="X"),1,0)+IF(AND(INDIRECT("E"&amp;(T320+70))="X",INDIRECT("E"&amp;(U320+70))="X",INDIRECT("E"&amp;(V320+70))="X"),1,0)+IF(AND(INDIRECT("F"&amp;(T320+70))="X",INDIRECT("F"&amp;(U320+70))="X",INDIRECT("F"&amp;(V320+70))="X"),1,0)+IF(AND(INDIRECT("G"&amp;(T320+70))="X",INDIRECT("G"&amp;(U320+70))="X",INDIRECT("G"&amp;(V320+70))="X"),1,0)+IF(AND(INDIRECT("H"&amp;(T320+70))="X",INDIRECT("H"&amp;(U320+70))="X",INDIRECT("H"&amp;(V320+70))="X"),1,0)+IF(AND(INDIRECT("I"&amp;(T320+70))="X",INDIRECT("I"&amp;(U320+70))="X",INDIRECT("I"&amp;(V320+70))="X"),1,0)+IF(AND(INDIRECT("J"&amp;(T320+70))="X",INDIRECT("J"&amp;(U320+70))="X",INDIRECT("J"&amp;(V320+70))="X"),1,0)+IF(AND(INDIRECT("K"&amp;(T320+70))="X",INDIRECT("K"&amp;(U320+70))="X",INDIRECT("K"&amp;(V320+70))="X"),1,0)+IF(AND(INDIRECT("L"&amp;(T320+70))="X",INDIRECT("L"&amp;(U320+70))="X",INDIRECT("L"&amp;(V320+70))="X"),1,0)+IF(AND(INDIRECT("M"&amp;(T320+70))="X",INDIRECT("M"&amp;(U320+70))="X",INDIRECT("M"&amp;(V320+70))="X"),1,0)+IF(AND(INDIRECT("N"&amp;(T320+70))="X",INDIRECT("N"&amp;(U320+70))="X",INDIRECT("N"&amp;(V320+70))="X"),1,0)+IF(AND(INDIRECT("O"&amp;(T320+70))="X",INDIRECT("O"&amp;(U320+70))="X",INDIRECT("O"&amp;(V320+70))="X"),1,0)+IF(AND(INDIRECT("P"&amp;(T320+70))="X",INDIRECT("P"&amp;(U320+70))="X",INDIRECT("P"&amp;(V320+70))="X"),1,0)+IF(AND(INDIRECT("Q"&amp;(T320+70))="X",INDIRECT("Q"&amp;(U320+70))="X",INDIRECT("Q"&amp;(V320+70))="X"),1,0)</f>
        <v>2</v>
      </c>
    </row>
    <row r="321" spans="20:23" x14ac:dyDescent="0.3">
      <c r="T321">
        <v>5</v>
      </c>
      <c r="U321">
        <v>9</v>
      </c>
      <c r="V321">
        <v>11</v>
      </c>
      <c r="W321" cm="1">
        <f t="array" aca="1" ref="W321" ca="1">IF(AND(INDIRECT("B"&amp;(T321+70))="X",INDIRECT("B"&amp;(U321+70))="X",INDIRECT("B"&amp;(V321+70))="X"),1,0)+IF(AND(INDIRECT("C"&amp;(T321+70))="X",INDIRECT("C"&amp;(U321+70))="X",INDIRECT("C"&amp;(V321+70))="X"),1,0)+IF(AND(INDIRECT("D"&amp;(T321+70))="X",INDIRECT("D"&amp;(U321+70))="X",INDIRECT("D"&amp;(V321+70))="X"),1,0)+IF(AND(INDIRECT("E"&amp;(T321+70))="X",INDIRECT("E"&amp;(U321+70))="X",INDIRECT("E"&amp;(V321+70))="X"),1,0)+IF(AND(INDIRECT("F"&amp;(T321+70))="X",INDIRECT("F"&amp;(U321+70))="X",INDIRECT("F"&amp;(V321+70))="X"),1,0)+IF(AND(INDIRECT("G"&amp;(T321+70))="X",INDIRECT("G"&amp;(U321+70))="X",INDIRECT("G"&amp;(V321+70))="X"),1,0)+IF(AND(INDIRECT("H"&amp;(T321+70))="X",INDIRECT("H"&amp;(U321+70))="X",INDIRECT("H"&amp;(V321+70))="X"),1,0)+IF(AND(INDIRECT("I"&amp;(T321+70))="X",INDIRECT("I"&amp;(U321+70))="X",INDIRECT("I"&amp;(V321+70))="X"),1,0)+IF(AND(INDIRECT("J"&amp;(T321+70))="X",INDIRECT("J"&amp;(U321+70))="X",INDIRECT("J"&amp;(V321+70))="X"),1,0)+IF(AND(INDIRECT("K"&amp;(T321+70))="X",INDIRECT("K"&amp;(U321+70))="X",INDIRECT("K"&amp;(V321+70))="X"),1,0)+IF(AND(INDIRECT("L"&amp;(T321+70))="X",INDIRECT("L"&amp;(U321+70))="X",INDIRECT("L"&amp;(V321+70))="X"),1,0)+IF(AND(INDIRECT("M"&amp;(T321+70))="X",INDIRECT("M"&amp;(U321+70))="X",INDIRECT("M"&amp;(V321+70))="X"),1,0)+IF(AND(INDIRECT("N"&amp;(T321+70))="X",INDIRECT("N"&amp;(U321+70))="X",INDIRECT("N"&amp;(V321+70))="X"),1,0)+IF(AND(INDIRECT("O"&amp;(T321+70))="X",INDIRECT("O"&amp;(U321+70))="X",INDIRECT("O"&amp;(V321+70))="X"),1,0)+IF(AND(INDIRECT("P"&amp;(T321+70))="X",INDIRECT("P"&amp;(U321+70))="X",INDIRECT("P"&amp;(V321+70))="X"),1,0)+IF(AND(INDIRECT("Q"&amp;(T321+70))="X",INDIRECT("Q"&amp;(U321+70))="X",INDIRECT("Q"&amp;(V321+70))="X"),1,0)</f>
        <v>1</v>
      </c>
    </row>
    <row r="322" spans="20:23" x14ac:dyDescent="0.3">
      <c r="T322">
        <v>5</v>
      </c>
      <c r="U322">
        <v>9</v>
      </c>
      <c r="V322">
        <v>12</v>
      </c>
      <c r="W322" cm="1">
        <f t="array" aca="1" ref="W322" ca="1">IF(AND(INDIRECT("B"&amp;(T322+70))="X",INDIRECT("B"&amp;(U322+70))="X",INDIRECT("B"&amp;(V322+70))="X"),1,0)+IF(AND(INDIRECT("C"&amp;(T322+70))="X",INDIRECT("C"&amp;(U322+70))="X",INDIRECT("C"&amp;(V322+70))="X"),1,0)+IF(AND(INDIRECT("D"&amp;(T322+70))="X",INDIRECT("D"&amp;(U322+70))="X",INDIRECT("D"&amp;(V322+70))="X"),1,0)+IF(AND(INDIRECT("E"&amp;(T322+70))="X",INDIRECT("E"&amp;(U322+70))="X",INDIRECT("E"&amp;(V322+70))="X"),1,0)+IF(AND(INDIRECT("F"&amp;(T322+70))="X",INDIRECT("F"&amp;(U322+70))="X",INDIRECT("F"&amp;(V322+70))="X"),1,0)+IF(AND(INDIRECT("G"&amp;(T322+70))="X",INDIRECT("G"&amp;(U322+70))="X",INDIRECT("G"&amp;(V322+70))="X"),1,0)+IF(AND(INDIRECT("H"&amp;(T322+70))="X",INDIRECT("H"&amp;(U322+70))="X",INDIRECT("H"&amp;(V322+70))="X"),1,0)+IF(AND(INDIRECT("I"&amp;(T322+70))="X",INDIRECT("I"&amp;(U322+70))="X",INDIRECT("I"&amp;(V322+70))="X"),1,0)+IF(AND(INDIRECT("J"&amp;(T322+70))="X",INDIRECT("J"&amp;(U322+70))="X",INDIRECT("J"&amp;(V322+70))="X"),1,0)+IF(AND(INDIRECT("K"&amp;(T322+70))="X",INDIRECT("K"&amp;(U322+70))="X",INDIRECT("K"&amp;(V322+70))="X"),1,0)+IF(AND(INDIRECT("L"&amp;(T322+70))="X",INDIRECT("L"&amp;(U322+70))="X",INDIRECT("L"&amp;(V322+70))="X"),1,0)+IF(AND(INDIRECT("M"&amp;(T322+70))="X",INDIRECT("M"&amp;(U322+70))="X",INDIRECT("M"&amp;(V322+70))="X"),1,0)+IF(AND(INDIRECT("N"&amp;(T322+70))="X",INDIRECT("N"&amp;(U322+70))="X",INDIRECT("N"&amp;(V322+70))="X"),1,0)+IF(AND(INDIRECT("O"&amp;(T322+70))="X",INDIRECT("O"&amp;(U322+70))="X",INDIRECT("O"&amp;(V322+70))="X"),1,0)+IF(AND(INDIRECT("P"&amp;(T322+70))="X",INDIRECT("P"&amp;(U322+70))="X",INDIRECT("P"&amp;(V322+70))="X"),1,0)+IF(AND(INDIRECT("Q"&amp;(T322+70))="X",INDIRECT("Q"&amp;(U322+70))="X",INDIRECT("Q"&amp;(V322+70))="X"),1,0)</f>
        <v>0</v>
      </c>
    </row>
    <row r="323" spans="20:23" x14ac:dyDescent="0.3">
      <c r="T323">
        <v>5</v>
      </c>
      <c r="U323">
        <v>9</v>
      </c>
      <c r="V323">
        <v>13</v>
      </c>
      <c r="W323" cm="1">
        <f t="array" aca="1" ref="W323" ca="1">IF(AND(INDIRECT("B"&amp;(T323+70))="X",INDIRECT("B"&amp;(U323+70))="X",INDIRECT("B"&amp;(V323+70))="X"),1,0)+IF(AND(INDIRECT("C"&amp;(T323+70))="X",INDIRECT("C"&amp;(U323+70))="X",INDIRECT("C"&amp;(V323+70))="X"),1,0)+IF(AND(INDIRECT("D"&amp;(T323+70))="X",INDIRECT("D"&amp;(U323+70))="X",INDIRECT("D"&amp;(V323+70))="X"),1,0)+IF(AND(INDIRECT("E"&amp;(T323+70))="X",INDIRECT("E"&amp;(U323+70))="X",INDIRECT("E"&amp;(V323+70))="X"),1,0)+IF(AND(INDIRECT("F"&amp;(T323+70))="X",INDIRECT("F"&amp;(U323+70))="X",INDIRECT("F"&amp;(V323+70))="X"),1,0)+IF(AND(INDIRECT("G"&amp;(T323+70))="X",INDIRECT("G"&amp;(U323+70))="X",INDIRECT("G"&amp;(V323+70))="X"),1,0)+IF(AND(INDIRECT("H"&amp;(T323+70))="X",INDIRECT("H"&amp;(U323+70))="X",INDIRECT("H"&amp;(V323+70))="X"),1,0)+IF(AND(INDIRECT("I"&amp;(T323+70))="X",INDIRECT("I"&amp;(U323+70))="X",INDIRECT("I"&amp;(V323+70))="X"),1,0)+IF(AND(INDIRECT("J"&amp;(T323+70))="X",INDIRECT("J"&amp;(U323+70))="X",INDIRECT("J"&amp;(V323+70))="X"),1,0)+IF(AND(INDIRECT("K"&amp;(T323+70))="X",INDIRECT("K"&amp;(U323+70))="X",INDIRECT("K"&amp;(V323+70))="X"),1,0)+IF(AND(INDIRECT("L"&amp;(T323+70))="X",INDIRECT("L"&amp;(U323+70))="X",INDIRECT("L"&amp;(V323+70))="X"),1,0)+IF(AND(INDIRECT("M"&amp;(T323+70))="X",INDIRECT("M"&amp;(U323+70))="X",INDIRECT("M"&amp;(V323+70))="X"),1,0)+IF(AND(INDIRECT("N"&amp;(T323+70))="X",INDIRECT("N"&amp;(U323+70))="X",INDIRECT("N"&amp;(V323+70))="X"),1,0)+IF(AND(INDIRECT("O"&amp;(T323+70))="X",INDIRECT("O"&amp;(U323+70))="X",INDIRECT("O"&amp;(V323+70))="X"),1,0)+IF(AND(INDIRECT("P"&amp;(T323+70))="X",INDIRECT("P"&amp;(U323+70))="X",INDIRECT("P"&amp;(V323+70))="X"),1,0)+IF(AND(INDIRECT("Q"&amp;(T323+70))="X",INDIRECT("Q"&amp;(U323+70))="X",INDIRECT("Q"&amp;(V323+70))="X"),1,0)</f>
        <v>2</v>
      </c>
    </row>
    <row r="324" spans="20:23" x14ac:dyDescent="0.3">
      <c r="T324">
        <v>5</v>
      </c>
      <c r="U324">
        <v>9</v>
      </c>
      <c r="V324">
        <v>14</v>
      </c>
      <c r="W324" cm="1">
        <f t="array" aca="1" ref="W324" ca="1">IF(AND(INDIRECT("B"&amp;(T324+70))="X",INDIRECT("B"&amp;(U324+70))="X",INDIRECT("B"&amp;(V324+70))="X"),1,0)+IF(AND(INDIRECT("C"&amp;(T324+70))="X",INDIRECT("C"&amp;(U324+70))="X",INDIRECT("C"&amp;(V324+70))="X"),1,0)+IF(AND(INDIRECT("D"&amp;(T324+70))="X",INDIRECT("D"&amp;(U324+70))="X",INDIRECT("D"&amp;(V324+70))="X"),1,0)+IF(AND(INDIRECT("E"&amp;(T324+70))="X",INDIRECT("E"&amp;(U324+70))="X",INDIRECT("E"&amp;(V324+70))="X"),1,0)+IF(AND(INDIRECT("F"&amp;(T324+70))="X",INDIRECT("F"&amp;(U324+70))="X",INDIRECT("F"&amp;(V324+70))="X"),1,0)+IF(AND(INDIRECT("G"&amp;(T324+70))="X",INDIRECT("G"&amp;(U324+70))="X",INDIRECT("G"&amp;(V324+70))="X"),1,0)+IF(AND(INDIRECT("H"&amp;(T324+70))="X",INDIRECT("H"&amp;(U324+70))="X",INDIRECT("H"&amp;(V324+70))="X"),1,0)+IF(AND(INDIRECT("I"&amp;(T324+70))="X",INDIRECT("I"&amp;(U324+70))="X",INDIRECT("I"&amp;(V324+70))="X"),1,0)+IF(AND(INDIRECT("J"&amp;(T324+70))="X",INDIRECT("J"&amp;(U324+70))="X",INDIRECT("J"&amp;(V324+70))="X"),1,0)+IF(AND(INDIRECT("K"&amp;(T324+70))="X",INDIRECT("K"&amp;(U324+70))="X",INDIRECT("K"&amp;(V324+70))="X"),1,0)+IF(AND(INDIRECT("L"&amp;(T324+70))="X",INDIRECT("L"&amp;(U324+70))="X",INDIRECT("L"&amp;(V324+70))="X"),1,0)+IF(AND(INDIRECT("M"&amp;(T324+70))="X",INDIRECT("M"&amp;(U324+70))="X",INDIRECT("M"&amp;(V324+70))="X"),1,0)+IF(AND(INDIRECT("N"&amp;(T324+70))="X",INDIRECT("N"&amp;(U324+70))="X",INDIRECT("N"&amp;(V324+70))="X"),1,0)+IF(AND(INDIRECT("O"&amp;(T324+70))="X",INDIRECT("O"&amp;(U324+70))="X",INDIRECT("O"&amp;(V324+70))="X"),1,0)+IF(AND(INDIRECT("P"&amp;(T324+70))="X",INDIRECT("P"&amp;(U324+70))="X",INDIRECT("P"&amp;(V324+70))="X"),1,0)+IF(AND(INDIRECT("Q"&amp;(T324+70))="X",INDIRECT("Q"&amp;(U324+70))="X",INDIRECT("Q"&amp;(V324+70))="X"),1,0)</f>
        <v>0</v>
      </c>
    </row>
    <row r="325" spans="20:23" x14ac:dyDescent="0.3">
      <c r="T325">
        <v>5</v>
      </c>
      <c r="U325">
        <v>10</v>
      </c>
      <c r="V325">
        <v>11</v>
      </c>
      <c r="W325" cm="1">
        <f t="array" aca="1" ref="W325" ca="1">IF(AND(INDIRECT("B"&amp;(T325+70))="X",INDIRECT("B"&amp;(U325+70))="X",INDIRECT("B"&amp;(V325+70))="X"),1,0)+IF(AND(INDIRECT("C"&amp;(T325+70))="X",INDIRECT("C"&amp;(U325+70))="X",INDIRECT("C"&amp;(V325+70))="X"),1,0)+IF(AND(INDIRECT("D"&amp;(T325+70))="X",INDIRECT("D"&amp;(U325+70))="X",INDIRECT("D"&amp;(V325+70))="X"),1,0)+IF(AND(INDIRECT("E"&amp;(T325+70))="X",INDIRECT("E"&amp;(U325+70))="X",INDIRECT("E"&amp;(V325+70))="X"),1,0)+IF(AND(INDIRECT("F"&amp;(T325+70))="X",INDIRECT("F"&amp;(U325+70))="X",INDIRECT("F"&amp;(V325+70))="X"),1,0)+IF(AND(INDIRECT("G"&amp;(T325+70))="X",INDIRECT("G"&amp;(U325+70))="X",INDIRECT("G"&amp;(V325+70))="X"),1,0)+IF(AND(INDIRECT("H"&amp;(T325+70))="X",INDIRECT("H"&amp;(U325+70))="X",INDIRECT("H"&amp;(V325+70))="X"),1,0)+IF(AND(INDIRECT("I"&amp;(T325+70))="X",INDIRECT("I"&amp;(U325+70))="X",INDIRECT("I"&amp;(V325+70))="X"),1,0)+IF(AND(INDIRECT("J"&amp;(T325+70))="X",INDIRECT("J"&amp;(U325+70))="X",INDIRECT("J"&amp;(V325+70))="X"),1,0)+IF(AND(INDIRECT("K"&amp;(T325+70))="X",INDIRECT("K"&amp;(U325+70))="X",INDIRECT("K"&amp;(V325+70))="X"),1,0)+IF(AND(INDIRECT("L"&amp;(T325+70))="X",INDIRECT("L"&amp;(U325+70))="X",INDIRECT("L"&amp;(V325+70))="X"),1,0)+IF(AND(INDIRECT("M"&amp;(T325+70))="X",INDIRECT("M"&amp;(U325+70))="X",INDIRECT("M"&amp;(V325+70))="X"),1,0)+IF(AND(INDIRECT("N"&amp;(T325+70))="X",INDIRECT("N"&amp;(U325+70))="X",INDIRECT("N"&amp;(V325+70))="X"),1,0)+IF(AND(INDIRECT("O"&amp;(T325+70))="X",INDIRECT("O"&amp;(U325+70))="X",INDIRECT("O"&amp;(V325+70))="X"),1,0)+IF(AND(INDIRECT("P"&amp;(T325+70))="X",INDIRECT("P"&amp;(U325+70))="X",INDIRECT("P"&amp;(V325+70))="X"),1,0)+IF(AND(INDIRECT("Q"&amp;(T325+70))="X",INDIRECT("Q"&amp;(U325+70))="X",INDIRECT("Q"&amp;(V325+70))="X"),1,0)</f>
        <v>1</v>
      </c>
    </row>
    <row r="326" spans="20:23" x14ac:dyDescent="0.3">
      <c r="T326">
        <v>5</v>
      </c>
      <c r="U326">
        <v>10</v>
      </c>
      <c r="V326">
        <v>12</v>
      </c>
      <c r="W326" cm="1">
        <f t="array" aca="1" ref="W326" ca="1">IF(AND(INDIRECT("B"&amp;(T326+70))="X",INDIRECT("B"&amp;(U326+70))="X",INDIRECT("B"&amp;(V326+70))="X"),1,0)+IF(AND(INDIRECT("C"&amp;(T326+70))="X",INDIRECT("C"&amp;(U326+70))="X",INDIRECT("C"&amp;(V326+70))="X"),1,0)+IF(AND(INDIRECT("D"&amp;(T326+70))="X",INDIRECT("D"&amp;(U326+70))="X",INDIRECT("D"&amp;(V326+70))="X"),1,0)+IF(AND(INDIRECT("E"&amp;(T326+70))="X",INDIRECT("E"&amp;(U326+70))="X",INDIRECT("E"&amp;(V326+70))="X"),1,0)+IF(AND(INDIRECT("F"&amp;(T326+70))="X",INDIRECT("F"&amp;(U326+70))="X",INDIRECT("F"&amp;(V326+70))="X"),1,0)+IF(AND(INDIRECT("G"&amp;(T326+70))="X",INDIRECT("G"&amp;(U326+70))="X",INDIRECT("G"&amp;(V326+70))="X"),1,0)+IF(AND(INDIRECT("H"&amp;(T326+70))="X",INDIRECT("H"&amp;(U326+70))="X",INDIRECT("H"&amp;(V326+70))="X"),1,0)+IF(AND(INDIRECT("I"&amp;(T326+70))="X",INDIRECT("I"&amp;(U326+70))="X",INDIRECT("I"&amp;(V326+70))="X"),1,0)+IF(AND(INDIRECT("J"&amp;(T326+70))="X",INDIRECT("J"&amp;(U326+70))="X",INDIRECT("J"&amp;(V326+70))="X"),1,0)+IF(AND(INDIRECT("K"&amp;(T326+70))="X",INDIRECT("K"&amp;(U326+70))="X",INDIRECT("K"&amp;(V326+70))="X"),1,0)+IF(AND(INDIRECT("L"&amp;(T326+70))="X",INDIRECT("L"&amp;(U326+70))="X",INDIRECT("L"&amp;(V326+70))="X"),1,0)+IF(AND(INDIRECT("M"&amp;(T326+70))="X",INDIRECT("M"&amp;(U326+70))="X",INDIRECT("M"&amp;(V326+70))="X"),1,0)+IF(AND(INDIRECT("N"&amp;(T326+70))="X",INDIRECT("N"&amp;(U326+70))="X",INDIRECT("N"&amp;(V326+70))="X"),1,0)+IF(AND(INDIRECT("O"&amp;(T326+70))="X",INDIRECT("O"&amp;(U326+70))="X",INDIRECT("O"&amp;(V326+70))="X"),1,0)+IF(AND(INDIRECT("P"&amp;(T326+70))="X",INDIRECT("P"&amp;(U326+70))="X",INDIRECT("P"&amp;(V326+70))="X"),1,0)+IF(AND(INDIRECT("Q"&amp;(T326+70))="X",INDIRECT("Q"&amp;(U326+70))="X",INDIRECT("Q"&amp;(V326+70))="X"),1,0)</f>
        <v>0</v>
      </c>
    </row>
    <row r="327" spans="20:23" x14ac:dyDescent="0.3">
      <c r="T327">
        <v>5</v>
      </c>
      <c r="U327">
        <v>10</v>
      </c>
      <c r="V327">
        <v>13</v>
      </c>
      <c r="W327" cm="1">
        <f t="array" aca="1" ref="W327" ca="1">IF(AND(INDIRECT("B"&amp;(T327+70))="X",INDIRECT("B"&amp;(U327+70))="X",INDIRECT("B"&amp;(V327+70))="X"),1,0)+IF(AND(INDIRECT("C"&amp;(T327+70))="X",INDIRECT("C"&amp;(U327+70))="X",INDIRECT("C"&amp;(V327+70))="X"),1,0)+IF(AND(INDIRECT("D"&amp;(T327+70))="X",INDIRECT("D"&amp;(U327+70))="X",INDIRECT("D"&amp;(V327+70))="X"),1,0)+IF(AND(INDIRECT("E"&amp;(T327+70))="X",INDIRECT("E"&amp;(U327+70))="X",INDIRECT("E"&amp;(V327+70))="X"),1,0)+IF(AND(INDIRECT("F"&amp;(T327+70))="X",INDIRECT("F"&amp;(U327+70))="X",INDIRECT("F"&amp;(V327+70))="X"),1,0)+IF(AND(INDIRECT("G"&amp;(T327+70))="X",INDIRECT("G"&amp;(U327+70))="X",INDIRECT("G"&amp;(V327+70))="X"),1,0)+IF(AND(INDIRECT("H"&amp;(T327+70))="X",INDIRECT("H"&amp;(U327+70))="X",INDIRECT("H"&amp;(V327+70))="X"),1,0)+IF(AND(INDIRECT("I"&amp;(T327+70))="X",INDIRECT("I"&amp;(U327+70))="X",INDIRECT("I"&amp;(V327+70))="X"),1,0)+IF(AND(INDIRECT("J"&amp;(T327+70))="X",INDIRECT("J"&amp;(U327+70))="X",INDIRECT("J"&amp;(V327+70))="X"),1,0)+IF(AND(INDIRECT("K"&amp;(T327+70))="X",INDIRECT("K"&amp;(U327+70))="X",INDIRECT("K"&amp;(V327+70))="X"),1,0)+IF(AND(INDIRECT("L"&amp;(T327+70))="X",INDIRECT("L"&amp;(U327+70))="X",INDIRECT("L"&amp;(V327+70))="X"),1,0)+IF(AND(INDIRECT("M"&amp;(T327+70))="X",INDIRECT("M"&amp;(U327+70))="X",INDIRECT("M"&amp;(V327+70))="X"),1,0)+IF(AND(INDIRECT("N"&amp;(T327+70))="X",INDIRECT("N"&amp;(U327+70))="X",INDIRECT("N"&amp;(V327+70))="X"),1,0)+IF(AND(INDIRECT("O"&amp;(T327+70))="X",INDIRECT("O"&amp;(U327+70))="X",INDIRECT("O"&amp;(V327+70))="X"),1,0)+IF(AND(INDIRECT("P"&amp;(T327+70))="X",INDIRECT("P"&amp;(U327+70))="X",INDIRECT("P"&amp;(V327+70))="X"),1,0)+IF(AND(INDIRECT("Q"&amp;(T327+70))="X",INDIRECT("Q"&amp;(U327+70))="X",INDIRECT("Q"&amp;(V327+70))="X"),1,0)</f>
        <v>1</v>
      </c>
    </row>
    <row r="328" spans="20:23" x14ac:dyDescent="0.3">
      <c r="T328">
        <v>5</v>
      </c>
      <c r="U328">
        <v>10</v>
      </c>
      <c r="V328">
        <v>14</v>
      </c>
      <c r="W328" cm="1">
        <f t="array" aca="1" ref="W328" ca="1">IF(AND(INDIRECT("B"&amp;(T328+70))="X",INDIRECT("B"&amp;(U328+70))="X",INDIRECT("B"&amp;(V328+70))="X"),1,0)+IF(AND(INDIRECT("C"&amp;(T328+70))="X",INDIRECT("C"&amp;(U328+70))="X",INDIRECT("C"&amp;(V328+70))="X"),1,0)+IF(AND(INDIRECT("D"&amp;(T328+70))="X",INDIRECT("D"&amp;(U328+70))="X",INDIRECT("D"&amp;(V328+70))="X"),1,0)+IF(AND(INDIRECT("E"&amp;(T328+70))="X",INDIRECT("E"&amp;(U328+70))="X",INDIRECT("E"&amp;(V328+70))="X"),1,0)+IF(AND(INDIRECT("F"&amp;(T328+70))="X",INDIRECT("F"&amp;(U328+70))="X",INDIRECT("F"&amp;(V328+70))="X"),1,0)+IF(AND(INDIRECT("G"&amp;(T328+70))="X",INDIRECT("G"&amp;(U328+70))="X",INDIRECT("G"&amp;(V328+70))="X"),1,0)+IF(AND(INDIRECT("H"&amp;(T328+70))="X",INDIRECT("H"&amp;(U328+70))="X",INDIRECT("H"&amp;(V328+70))="X"),1,0)+IF(AND(INDIRECT("I"&amp;(T328+70))="X",INDIRECT("I"&amp;(U328+70))="X",INDIRECT("I"&amp;(V328+70))="X"),1,0)+IF(AND(INDIRECT("J"&amp;(T328+70))="X",INDIRECT("J"&amp;(U328+70))="X",INDIRECT("J"&amp;(V328+70))="X"),1,0)+IF(AND(INDIRECT("K"&amp;(T328+70))="X",INDIRECT("K"&amp;(U328+70))="X",INDIRECT("K"&amp;(V328+70))="X"),1,0)+IF(AND(INDIRECT("L"&amp;(T328+70))="X",INDIRECT("L"&amp;(U328+70))="X",INDIRECT("L"&amp;(V328+70))="X"),1,0)+IF(AND(INDIRECT("M"&amp;(T328+70))="X",INDIRECT("M"&amp;(U328+70))="X",INDIRECT("M"&amp;(V328+70))="X"),1,0)+IF(AND(INDIRECT("N"&amp;(T328+70))="X",INDIRECT("N"&amp;(U328+70))="X",INDIRECT("N"&amp;(V328+70))="X"),1,0)+IF(AND(INDIRECT("O"&amp;(T328+70))="X",INDIRECT("O"&amp;(U328+70))="X",INDIRECT("O"&amp;(V328+70))="X"),1,0)+IF(AND(INDIRECT("P"&amp;(T328+70))="X",INDIRECT("P"&amp;(U328+70))="X",INDIRECT("P"&amp;(V328+70))="X"),1,0)+IF(AND(INDIRECT("Q"&amp;(T328+70))="X",INDIRECT("Q"&amp;(U328+70))="X",INDIRECT("Q"&amp;(V328+70))="X"),1,0)</f>
        <v>1</v>
      </c>
    </row>
    <row r="329" spans="20:23" x14ac:dyDescent="0.3">
      <c r="T329">
        <v>5</v>
      </c>
      <c r="U329">
        <v>11</v>
      </c>
      <c r="V329">
        <v>12</v>
      </c>
      <c r="W329" cm="1">
        <f t="array" aca="1" ref="W329" ca="1">IF(AND(INDIRECT("B"&amp;(T329+70))="X",INDIRECT("B"&amp;(U329+70))="X",INDIRECT("B"&amp;(V329+70))="X"),1,0)+IF(AND(INDIRECT("C"&amp;(T329+70))="X",INDIRECT("C"&amp;(U329+70))="X",INDIRECT("C"&amp;(V329+70))="X"),1,0)+IF(AND(INDIRECT("D"&amp;(T329+70))="X",INDIRECT("D"&amp;(U329+70))="X",INDIRECT("D"&amp;(V329+70))="X"),1,0)+IF(AND(INDIRECT("E"&amp;(T329+70))="X",INDIRECT("E"&amp;(U329+70))="X",INDIRECT("E"&amp;(V329+70))="X"),1,0)+IF(AND(INDIRECT("F"&amp;(T329+70))="X",INDIRECT("F"&amp;(U329+70))="X",INDIRECT("F"&amp;(V329+70))="X"),1,0)+IF(AND(INDIRECT("G"&amp;(T329+70))="X",INDIRECT("G"&amp;(U329+70))="X",INDIRECT("G"&amp;(V329+70))="X"),1,0)+IF(AND(INDIRECT("H"&amp;(T329+70))="X",INDIRECT("H"&amp;(U329+70))="X",INDIRECT("H"&amp;(V329+70))="X"),1,0)+IF(AND(INDIRECT("I"&amp;(T329+70))="X",INDIRECT("I"&amp;(U329+70))="X",INDIRECT("I"&amp;(V329+70))="X"),1,0)+IF(AND(INDIRECT("J"&amp;(T329+70))="X",INDIRECT("J"&amp;(U329+70))="X",INDIRECT("J"&amp;(V329+70))="X"),1,0)+IF(AND(INDIRECT("K"&amp;(T329+70))="X",INDIRECT("K"&amp;(U329+70))="X",INDIRECT("K"&amp;(V329+70))="X"),1,0)+IF(AND(INDIRECT("L"&amp;(T329+70))="X",INDIRECT("L"&amp;(U329+70))="X",INDIRECT("L"&amp;(V329+70))="X"),1,0)+IF(AND(INDIRECT("M"&amp;(T329+70))="X",INDIRECT("M"&amp;(U329+70))="X",INDIRECT("M"&amp;(V329+70))="X"),1,0)+IF(AND(INDIRECT("N"&amp;(T329+70))="X",INDIRECT("N"&amp;(U329+70))="X",INDIRECT("N"&amp;(V329+70))="X"),1,0)+IF(AND(INDIRECT("O"&amp;(T329+70))="X",INDIRECT("O"&amp;(U329+70))="X",INDIRECT("O"&amp;(V329+70))="X"),1,0)+IF(AND(INDIRECT("P"&amp;(T329+70))="X",INDIRECT("P"&amp;(U329+70))="X",INDIRECT("P"&amp;(V329+70))="X"),1,0)+IF(AND(INDIRECT("Q"&amp;(T329+70))="X",INDIRECT("Q"&amp;(U329+70))="X",INDIRECT("Q"&amp;(V329+70))="X"),1,0)</f>
        <v>1</v>
      </c>
    </row>
    <row r="330" spans="20:23" x14ac:dyDescent="0.3">
      <c r="T330">
        <v>5</v>
      </c>
      <c r="U330">
        <v>11</v>
      </c>
      <c r="V330">
        <v>13</v>
      </c>
      <c r="W330" cm="1">
        <f t="array" aca="1" ref="W330" ca="1">IF(AND(INDIRECT("B"&amp;(T330+70))="X",INDIRECT("B"&amp;(U330+70))="X",INDIRECT("B"&amp;(V330+70))="X"),1,0)+IF(AND(INDIRECT("C"&amp;(T330+70))="X",INDIRECT("C"&amp;(U330+70))="X",INDIRECT("C"&amp;(V330+70))="X"),1,0)+IF(AND(INDIRECT("D"&amp;(T330+70))="X",INDIRECT("D"&amp;(U330+70))="X",INDIRECT("D"&amp;(V330+70))="X"),1,0)+IF(AND(INDIRECT("E"&amp;(T330+70))="X",INDIRECT("E"&amp;(U330+70))="X",INDIRECT("E"&amp;(V330+70))="X"),1,0)+IF(AND(INDIRECT("F"&amp;(T330+70))="X",INDIRECT("F"&amp;(U330+70))="X",INDIRECT("F"&amp;(V330+70))="X"),1,0)+IF(AND(INDIRECT("G"&amp;(T330+70))="X",INDIRECT("G"&amp;(U330+70))="X",INDIRECT("G"&amp;(V330+70))="X"),1,0)+IF(AND(INDIRECT("H"&amp;(T330+70))="X",INDIRECT("H"&amp;(U330+70))="X",INDIRECT("H"&amp;(V330+70))="X"),1,0)+IF(AND(INDIRECT("I"&amp;(T330+70))="X",INDIRECT("I"&amp;(U330+70))="X",INDIRECT("I"&amp;(V330+70))="X"),1,0)+IF(AND(INDIRECT("J"&amp;(T330+70))="X",INDIRECT("J"&amp;(U330+70))="X",INDIRECT("J"&amp;(V330+70))="X"),1,0)+IF(AND(INDIRECT("K"&amp;(T330+70))="X",INDIRECT("K"&amp;(U330+70))="X",INDIRECT("K"&amp;(V330+70))="X"),1,0)+IF(AND(INDIRECT("L"&amp;(T330+70))="X",INDIRECT("L"&amp;(U330+70))="X",INDIRECT("L"&amp;(V330+70))="X"),1,0)+IF(AND(INDIRECT("M"&amp;(T330+70))="X",INDIRECT("M"&amp;(U330+70))="X",INDIRECT("M"&amp;(V330+70))="X"),1,0)+IF(AND(INDIRECT("N"&amp;(T330+70))="X",INDIRECT("N"&amp;(U330+70))="X",INDIRECT("N"&amp;(V330+70))="X"),1,0)+IF(AND(INDIRECT("O"&amp;(T330+70))="X",INDIRECT("O"&amp;(U330+70))="X",INDIRECT("O"&amp;(V330+70))="X"),1,0)+IF(AND(INDIRECT("P"&amp;(T330+70))="X",INDIRECT("P"&amp;(U330+70))="X",INDIRECT("P"&amp;(V330+70))="X"),1,0)+IF(AND(INDIRECT("Q"&amp;(T330+70))="X",INDIRECT("Q"&amp;(U330+70))="X",INDIRECT("Q"&amp;(V330+70))="X"),1,0)</f>
        <v>1</v>
      </c>
    </row>
    <row r="331" spans="20:23" x14ac:dyDescent="0.3">
      <c r="T331">
        <v>5</v>
      </c>
      <c r="U331">
        <v>11</v>
      </c>
      <c r="V331">
        <v>14</v>
      </c>
      <c r="W331" cm="1">
        <f t="array" aca="1" ref="W331" ca="1">IF(AND(INDIRECT("B"&amp;(T331+70))="X",INDIRECT("B"&amp;(U331+70))="X",INDIRECT("B"&amp;(V331+70))="X"),1,0)+IF(AND(INDIRECT("C"&amp;(T331+70))="X",INDIRECT("C"&amp;(U331+70))="X",INDIRECT("C"&amp;(V331+70))="X"),1,0)+IF(AND(INDIRECT("D"&amp;(T331+70))="X",INDIRECT("D"&amp;(U331+70))="X",INDIRECT("D"&amp;(V331+70))="X"),1,0)+IF(AND(INDIRECT("E"&amp;(T331+70))="X",INDIRECT("E"&amp;(U331+70))="X",INDIRECT("E"&amp;(V331+70))="X"),1,0)+IF(AND(INDIRECT("F"&amp;(T331+70))="X",INDIRECT("F"&amp;(U331+70))="X",INDIRECT("F"&amp;(V331+70))="X"),1,0)+IF(AND(INDIRECT("G"&amp;(T331+70))="X",INDIRECT("G"&amp;(U331+70))="X",INDIRECT("G"&amp;(V331+70))="X"),1,0)+IF(AND(INDIRECT("H"&amp;(T331+70))="X",INDIRECT("H"&amp;(U331+70))="X",INDIRECT("H"&amp;(V331+70))="X"),1,0)+IF(AND(INDIRECT("I"&amp;(T331+70))="X",INDIRECT("I"&amp;(U331+70))="X",INDIRECT("I"&amp;(V331+70))="X"),1,0)+IF(AND(INDIRECT("J"&amp;(T331+70))="X",INDIRECT("J"&amp;(U331+70))="X",INDIRECT("J"&amp;(V331+70))="X"),1,0)+IF(AND(INDIRECT("K"&amp;(T331+70))="X",INDIRECT("K"&amp;(U331+70))="X",INDIRECT("K"&amp;(V331+70))="X"),1,0)+IF(AND(INDIRECT("L"&amp;(T331+70))="X",INDIRECT("L"&amp;(U331+70))="X",INDIRECT("L"&amp;(V331+70))="X"),1,0)+IF(AND(INDIRECT("M"&amp;(T331+70))="X",INDIRECT("M"&amp;(U331+70))="X",INDIRECT("M"&amp;(V331+70))="X"),1,0)+IF(AND(INDIRECT("N"&amp;(T331+70))="X",INDIRECT("N"&amp;(U331+70))="X",INDIRECT("N"&amp;(V331+70))="X"),1,0)+IF(AND(INDIRECT("O"&amp;(T331+70))="X",INDIRECT("O"&amp;(U331+70))="X",INDIRECT("O"&amp;(V331+70))="X"),1,0)+IF(AND(INDIRECT("P"&amp;(T331+70))="X",INDIRECT("P"&amp;(U331+70))="X",INDIRECT("P"&amp;(V331+70))="X"),1,0)+IF(AND(INDIRECT("Q"&amp;(T331+70))="X",INDIRECT("Q"&amp;(U331+70))="X",INDIRECT("Q"&amp;(V331+70))="X"),1,0)</f>
        <v>0</v>
      </c>
    </row>
    <row r="332" spans="20:23" x14ac:dyDescent="0.3">
      <c r="T332">
        <v>5</v>
      </c>
      <c r="U332">
        <v>12</v>
      </c>
      <c r="V332">
        <v>13</v>
      </c>
      <c r="W332" cm="1">
        <f t="array" aca="1" ref="W332" ca="1">IF(AND(INDIRECT("B"&amp;(T332+70))="X",INDIRECT("B"&amp;(U332+70))="X",INDIRECT("B"&amp;(V332+70))="X"),1,0)+IF(AND(INDIRECT("C"&amp;(T332+70))="X",INDIRECT("C"&amp;(U332+70))="X",INDIRECT("C"&amp;(V332+70))="X"),1,0)+IF(AND(INDIRECT("D"&amp;(T332+70))="X",INDIRECT("D"&amp;(U332+70))="X",INDIRECT("D"&amp;(V332+70))="X"),1,0)+IF(AND(INDIRECT("E"&amp;(T332+70))="X",INDIRECT("E"&amp;(U332+70))="X",INDIRECT("E"&amp;(V332+70))="X"),1,0)+IF(AND(INDIRECT("F"&amp;(T332+70))="X",INDIRECT("F"&amp;(U332+70))="X",INDIRECT("F"&amp;(V332+70))="X"),1,0)+IF(AND(INDIRECT("G"&amp;(T332+70))="X",INDIRECT("G"&amp;(U332+70))="X",INDIRECT("G"&amp;(V332+70))="X"),1,0)+IF(AND(INDIRECT("H"&amp;(T332+70))="X",INDIRECT("H"&amp;(U332+70))="X",INDIRECT("H"&amp;(V332+70))="X"),1,0)+IF(AND(INDIRECT("I"&amp;(T332+70))="X",INDIRECT("I"&amp;(U332+70))="X",INDIRECT("I"&amp;(V332+70))="X"),1,0)+IF(AND(INDIRECT("J"&amp;(T332+70))="X",INDIRECT("J"&amp;(U332+70))="X",INDIRECT("J"&amp;(V332+70))="X"),1,0)+IF(AND(INDIRECT("K"&amp;(T332+70))="X",INDIRECT("K"&amp;(U332+70))="X",INDIRECT("K"&amp;(V332+70))="X"),1,0)+IF(AND(INDIRECT("L"&amp;(T332+70))="X",INDIRECT("L"&amp;(U332+70))="X",INDIRECT("L"&amp;(V332+70))="X"),1,0)+IF(AND(INDIRECT("M"&amp;(T332+70))="X",INDIRECT("M"&amp;(U332+70))="X",INDIRECT("M"&amp;(V332+70))="X"),1,0)+IF(AND(INDIRECT("N"&amp;(T332+70))="X",INDIRECT("N"&amp;(U332+70))="X",INDIRECT("N"&amp;(V332+70))="X"),1,0)+IF(AND(INDIRECT("O"&amp;(T332+70))="X",INDIRECT("O"&amp;(U332+70))="X",INDIRECT("O"&amp;(V332+70))="X"),1,0)+IF(AND(INDIRECT("P"&amp;(T332+70))="X",INDIRECT("P"&amp;(U332+70))="X",INDIRECT("P"&amp;(V332+70))="X"),1,0)+IF(AND(INDIRECT("Q"&amp;(T332+70))="X",INDIRECT("Q"&amp;(U332+70))="X",INDIRECT("Q"&amp;(V332+70))="X"),1,0)</f>
        <v>1</v>
      </c>
    </row>
    <row r="333" spans="20:23" x14ac:dyDescent="0.3">
      <c r="T333">
        <v>5</v>
      </c>
      <c r="U333">
        <v>12</v>
      </c>
      <c r="V333">
        <v>14</v>
      </c>
      <c r="W333" cm="1">
        <f t="array" aca="1" ref="W333" ca="1">IF(AND(INDIRECT("B"&amp;(T333+70))="X",INDIRECT("B"&amp;(U333+70))="X",INDIRECT("B"&amp;(V333+70))="X"),1,0)+IF(AND(INDIRECT("C"&amp;(T333+70))="X",INDIRECT("C"&amp;(U333+70))="X",INDIRECT("C"&amp;(V333+70))="X"),1,0)+IF(AND(INDIRECT("D"&amp;(T333+70))="X",INDIRECT("D"&amp;(U333+70))="X",INDIRECT("D"&amp;(V333+70))="X"),1,0)+IF(AND(INDIRECT("E"&amp;(T333+70))="X",INDIRECT("E"&amp;(U333+70))="X",INDIRECT("E"&amp;(V333+70))="X"),1,0)+IF(AND(INDIRECT("F"&amp;(T333+70))="X",INDIRECT("F"&amp;(U333+70))="X",INDIRECT("F"&amp;(V333+70))="X"),1,0)+IF(AND(INDIRECT("G"&amp;(T333+70))="X",INDIRECT("G"&amp;(U333+70))="X",INDIRECT("G"&amp;(V333+70))="X"),1,0)+IF(AND(INDIRECT("H"&amp;(T333+70))="X",INDIRECT("H"&amp;(U333+70))="X",INDIRECT("H"&amp;(V333+70))="X"),1,0)+IF(AND(INDIRECT("I"&amp;(T333+70))="X",INDIRECT("I"&amp;(U333+70))="X",INDIRECT("I"&amp;(V333+70))="X"),1,0)+IF(AND(INDIRECT("J"&amp;(T333+70))="X",INDIRECT("J"&amp;(U333+70))="X",INDIRECT("J"&amp;(V333+70))="X"),1,0)+IF(AND(INDIRECT("K"&amp;(T333+70))="X",INDIRECT("K"&amp;(U333+70))="X",INDIRECT("K"&amp;(V333+70))="X"),1,0)+IF(AND(INDIRECT("L"&amp;(T333+70))="X",INDIRECT("L"&amp;(U333+70))="X",INDIRECT("L"&amp;(V333+70))="X"),1,0)+IF(AND(INDIRECT("M"&amp;(T333+70))="X",INDIRECT("M"&amp;(U333+70))="X",INDIRECT("M"&amp;(V333+70))="X"),1,0)+IF(AND(INDIRECT("N"&amp;(T333+70))="X",INDIRECT("N"&amp;(U333+70))="X",INDIRECT("N"&amp;(V333+70))="X"),1,0)+IF(AND(INDIRECT("O"&amp;(T333+70))="X",INDIRECT("O"&amp;(U333+70))="X",INDIRECT("O"&amp;(V333+70))="X"),1,0)+IF(AND(INDIRECT("P"&amp;(T333+70))="X",INDIRECT("P"&amp;(U333+70))="X",INDIRECT("P"&amp;(V333+70))="X"),1,0)+IF(AND(INDIRECT("Q"&amp;(T333+70))="X",INDIRECT("Q"&amp;(U333+70))="X",INDIRECT("Q"&amp;(V333+70))="X"),1,0)</f>
        <v>1</v>
      </c>
    </row>
    <row r="334" spans="20:23" x14ac:dyDescent="0.3">
      <c r="T334">
        <v>5</v>
      </c>
      <c r="U334">
        <v>13</v>
      </c>
      <c r="V334">
        <v>14</v>
      </c>
      <c r="W334" cm="1">
        <f t="array" aca="1" ref="W334" ca="1">IF(AND(INDIRECT("B"&amp;(T334+70))="X",INDIRECT("B"&amp;(U334+70))="X",INDIRECT("B"&amp;(V334+70))="X"),1,0)+IF(AND(INDIRECT("C"&amp;(T334+70))="X",INDIRECT("C"&amp;(U334+70))="X",INDIRECT("C"&amp;(V334+70))="X"),1,0)+IF(AND(INDIRECT("D"&amp;(T334+70))="X",INDIRECT("D"&amp;(U334+70))="X",INDIRECT("D"&amp;(V334+70))="X"),1,0)+IF(AND(INDIRECT("E"&amp;(T334+70))="X",INDIRECT("E"&amp;(U334+70))="X",INDIRECT("E"&amp;(V334+70))="X"),1,0)+IF(AND(INDIRECT("F"&amp;(T334+70))="X",INDIRECT("F"&amp;(U334+70))="X",INDIRECT("F"&amp;(V334+70))="X"),1,0)+IF(AND(INDIRECT("G"&amp;(T334+70))="X",INDIRECT("G"&amp;(U334+70))="X",INDIRECT("G"&amp;(V334+70))="X"),1,0)+IF(AND(INDIRECT("H"&amp;(T334+70))="X",INDIRECT("H"&amp;(U334+70))="X",INDIRECT("H"&amp;(V334+70))="X"),1,0)+IF(AND(INDIRECT("I"&amp;(T334+70))="X",INDIRECT("I"&amp;(U334+70))="X",INDIRECT("I"&amp;(V334+70))="X"),1,0)+IF(AND(INDIRECT("J"&amp;(T334+70))="X",INDIRECT("J"&amp;(U334+70))="X",INDIRECT("J"&amp;(V334+70))="X"),1,0)+IF(AND(INDIRECT("K"&amp;(T334+70))="X",INDIRECT("K"&amp;(U334+70))="X",INDIRECT("K"&amp;(V334+70))="X"),1,0)+IF(AND(INDIRECT("L"&amp;(T334+70))="X",INDIRECT("L"&amp;(U334+70))="X",INDIRECT("L"&amp;(V334+70))="X"),1,0)+IF(AND(INDIRECT("M"&amp;(T334+70))="X",INDIRECT("M"&amp;(U334+70))="X",INDIRECT("M"&amp;(V334+70))="X"),1,0)+IF(AND(INDIRECT("N"&amp;(T334+70))="X",INDIRECT("N"&amp;(U334+70))="X",INDIRECT("N"&amp;(V334+70))="X"),1,0)+IF(AND(INDIRECT("O"&amp;(T334+70))="X",INDIRECT("O"&amp;(U334+70))="X",INDIRECT("O"&amp;(V334+70))="X"),1,0)+IF(AND(INDIRECT("P"&amp;(T334+70))="X",INDIRECT("P"&amp;(U334+70))="X",INDIRECT("P"&amp;(V334+70))="X"),1,0)+IF(AND(INDIRECT("Q"&amp;(T334+70))="X",INDIRECT("Q"&amp;(U334+70))="X",INDIRECT("Q"&amp;(V334+70))="X"),1,0)</f>
        <v>0</v>
      </c>
    </row>
    <row r="335" spans="20:23" x14ac:dyDescent="0.3">
      <c r="T335">
        <v>6</v>
      </c>
      <c r="U335">
        <v>7</v>
      </c>
      <c r="V335">
        <v>8</v>
      </c>
      <c r="W335" cm="1">
        <f t="array" aca="1" ref="W335" ca="1">IF(AND(INDIRECT("B"&amp;(T335+70))="X",INDIRECT("B"&amp;(U335+70))="X",INDIRECT("B"&amp;(V335+70))="X"),1,0)+IF(AND(INDIRECT("C"&amp;(T335+70))="X",INDIRECT("C"&amp;(U335+70))="X",INDIRECT("C"&amp;(V335+70))="X"),1,0)+IF(AND(INDIRECT("D"&amp;(T335+70))="X",INDIRECT("D"&amp;(U335+70))="X",INDIRECT("D"&amp;(V335+70))="X"),1,0)+IF(AND(INDIRECT("E"&amp;(T335+70))="X",INDIRECT("E"&amp;(U335+70))="X",INDIRECT("E"&amp;(V335+70))="X"),1,0)+IF(AND(INDIRECT("F"&amp;(T335+70))="X",INDIRECT("F"&amp;(U335+70))="X",INDIRECT("F"&amp;(V335+70))="X"),1,0)+IF(AND(INDIRECT("G"&amp;(T335+70))="X",INDIRECT("G"&amp;(U335+70))="X",INDIRECT("G"&amp;(V335+70))="X"),1,0)+IF(AND(INDIRECT("H"&amp;(T335+70))="X",INDIRECT("H"&amp;(U335+70))="X",INDIRECT("H"&amp;(V335+70))="X"),1,0)+IF(AND(INDIRECT("I"&amp;(T335+70))="X",INDIRECT("I"&amp;(U335+70))="X",INDIRECT("I"&amp;(V335+70))="X"),1,0)+IF(AND(INDIRECT("J"&amp;(T335+70))="X",INDIRECT("J"&amp;(U335+70))="X",INDIRECT("J"&amp;(V335+70))="X"),1,0)+IF(AND(INDIRECT("K"&amp;(T335+70))="X",INDIRECT("K"&amp;(U335+70))="X",INDIRECT("K"&amp;(V335+70))="X"),1,0)+IF(AND(INDIRECT("L"&amp;(T335+70))="X",INDIRECT("L"&amp;(U335+70))="X",INDIRECT("L"&amp;(V335+70))="X"),1,0)+IF(AND(INDIRECT("M"&amp;(T335+70))="X",INDIRECT("M"&amp;(U335+70))="X",INDIRECT("M"&amp;(V335+70))="X"),1,0)+IF(AND(INDIRECT("N"&amp;(T335+70))="X",INDIRECT("N"&amp;(U335+70))="X",INDIRECT("N"&amp;(V335+70))="X"),1,0)+IF(AND(INDIRECT("O"&amp;(T335+70))="X",INDIRECT("O"&amp;(U335+70))="X",INDIRECT("O"&amp;(V335+70))="X"),1,0)+IF(AND(INDIRECT("P"&amp;(T335+70))="X",INDIRECT("P"&amp;(U335+70))="X",INDIRECT("P"&amp;(V335+70))="X"),1,0)+IF(AND(INDIRECT("Q"&amp;(T335+70))="X",INDIRECT("Q"&amp;(U335+70))="X",INDIRECT("Q"&amp;(V335+70))="X"),1,0)</f>
        <v>1</v>
      </c>
    </row>
    <row r="336" spans="20:23" x14ac:dyDescent="0.3">
      <c r="T336">
        <v>6</v>
      </c>
      <c r="U336">
        <v>7</v>
      </c>
      <c r="V336">
        <v>9</v>
      </c>
      <c r="W336" cm="1">
        <f t="array" aca="1" ref="W336" ca="1">IF(AND(INDIRECT("B"&amp;(T336+70))="X",INDIRECT("B"&amp;(U336+70))="X",INDIRECT("B"&amp;(V336+70))="X"),1,0)+IF(AND(INDIRECT("C"&amp;(T336+70))="X",INDIRECT("C"&amp;(U336+70))="X",INDIRECT("C"&amp;(V336+70))="X"),1,0)+IF(AND(INDIRECT("D"&amp;(T336+70))="X",INDIRECT("D"&amp;(U336+70))="X",INDIRECT("D"&amp;(V336+70))="X"),1,0)+IF(AND(INDIRECT("E"&amp;(T336+70))="X",INDIRECT("E"&amp;(U336+70))="X",INDIRECT("E"&amp;(V336+70))="X"),1,0)+IF(AND(INDIRECT("F"&amp;(T336+70))="X",INDIRECT("F"&amp;(U336+70))="X",INDIRECT("F"&amp;(V336+70))="X"),1,0)+IF(AND(INDIRECT("G"&amp;(T336+70))="X",INDIRECT("G"&amp;(U336+70))="X",INDIRECT("G"&amp;(V336+70))="X"),1,0)+IF(AND(INDIRECT("H"&amp;(T336+70))="X",INDIRECT("H"&amp;(U336+70))="X",INDIRECT("H"&amp;(V336+70))="X"),1,0)+IF(AND(INDIRECT("I"&amp;(T336+70))="X",INDIRECT("I"&amp;(U336+70))="X",INDIRECT("I"&amp;(V336+70))="X"),1,0)+IF(AND(INDIRECT("J"&amp;(T336+70))="X",INDIRECT("J"&amp;(U336+70))="X",INDIRECT("J"&amp;(V336+70))="X"),1,0)+IF(AND(INDIRECT("K"&amp;(T336+70))="X",INDIRECT("K"&amp;(U336+70))="X",INDIRECT("K"&amp;(V336+70))="X"),1,0)+IF(AND(INDIRECT("L"&amp;(T336+70))="X",INDIRECT("L"&amp;(U336+70))="X",INDIRECT("L"&amp;(V336+70))="X"),1,0)+IF(AND(INDIRECT("M"&amp;(T336+70))="X",INDIRECT("M"&amp;(U336+70))="X",INDIRECT("M"&amp;(V336+70))="X"),1,0)+IF(AND(INDIRECT("N"&amp;(T336+70))="X",INDIRECT("N"&amp;(U336+70))="X",INDIRECT("N"&amp;(V336+70))="X"),1,0)+IF(AND(INDIRECT("O"&amp;(T336+70))="X",INDIRECT("O"&amp;(U336+70))="X",INDIRECT("O"&amp;(V336+70))="X"),1,0)+IF(AND(INDIRECT("P"&amp;(T336+70))="X",INDIRECT("P"&amp;(U336+70))="X",INDIRECT("P"&amp;(V336+70))="X"),1,0)+IF(AND(INDIRECT("Q"&amp;(T336+70))="X",INDIRECT("Q"&amp;(U336+70))="X",INDIRECT("Q"&amp;(V336+70))="X"),1,0)</f>
        <v>1</v>
      </c>
    </row>
    <row r="337" spans="20:23" x14ac:dyDescent="0.3">
      <c r="T337">
        <v>6</v>
      </c>
      <c r="U337">
        <v>7</v>
      </c>
      <c r="V337">
        <v>10</v>
      </c>
      <c r="W337" cm="1">
        <f t="array" aca="1" ref="W337" ca="1">IF(AND(INDIRECT("B"&amp;(T337+70))="X",INDIRECT("B"&amp;(U337+70))="X",INDIRECT("B"&amp;(V337+70))="X"),1,0)+IF(AND(INDIRECT("C"&amp;(T337+70))="X",INDIRECT("C"&amp;(U337+70))="X",INDIRECT("C"&amp;(V337+70))="X"),1,0)+IF(AND(INDIRECT("D"&amp;(T337+70))="X",INDIRECT("D"&amp;(U337+70))="X",INDIRECT("D"&amp;(V337+70))="X"),1,0)+IF(AND(INDIRECT("E"&amp;(T337+70))="X",INDIRECT("E"&amp;(U337+70))="X",INDIRECT("E"&amp;(V337+70))="X"),1,0)+IF(AND(INDIRECT("F"&amp;(T337+70))="X",INDIRECT("F"&amp;(U337+70))="X",INDIRECT("F"&amp;(V337+70))="X"),1,0)+IF(AND(INDIRECT("G"&amp;(T337+70))="X",INDIRECT("G"&amp;(U337+70))="X",INDIRECT("G"&amp;(V337+70))="X"),1,0)+IF(AND(INDIRECT("H"&amp;(T337+70))="X",INDIRECT("H"&amp;(U337+70))="X",INDIRECT("H"&amp;(V337+70))="X"),1,0)+IF(AND(INDIRECT("I"&amp;(T337+70))="X",INDIRECT("I"&amp;(U337+70))="X",INDIRECT("I"&amp;(V337+70))="X"),1,0)+IF(AND(INDIRECT("J"&amp;(T337+70))="X",INDIRECT("J"&amp;(U337+70))="X",INDIRECT("J"&amp;(V337+70))="X"),1,0)+IF(AND(INDIRECT("K"&amp;(T337+70))="X",INDIRECT("K"&amp;(U337+70))="X",INDIRECT("K"&amp;(V337+70))="X"),1,0)+IF(AND(INDIRECT("L"&amp;(T337+70))="X",INDIRECT("L"&amp;(U337+70))="X",INDIRECT("L"&amp;(V337+70))="X"),1,0)+IF(AND(INDIRECT("M"&amp;(T337+70))="X",INDIRECT("M"&amp;(U337+70))="X",INDIRECT("M"&amp;(V337+70))="X"),1,0)+IF(AND(INDIRECT("N"&amp;(T337+70))="X",INDIRECT("N"&amp;(U337+70))="X",INDIRECT("N"&amp;(V337+70))="X"),1,0)+IF(AND(INDIRECT("O"&amp;(T337+70))="X",INDIRECT("O"&amp;(U337+70))="X",INDIRECT("O"&amp;(V337+70))="X"),1,0)+IF(AND(INDIRECT("P"&amp;(T337+70))="X",INDIRECT("P"&amp;(U337+70))="X",INDIRECT("P"&amp;(V337+70))="X"),1,0)+IF(AND(INDIRECT("Q"&amp;(T337+70))="X",INDIRECT("Q"&amp;(U337+70))="X",INDIRECT("Q"&amp;(V337+70))="X"),1,0)</f>
        <v>1</v>
      </c>
    </row>
    <row r="338" spans="20:23" x14ac:dyDescent="0.3">
      <c r="T338">
        <v>6</v>
      </c>
      <c r="U338">
        <v>7</v>
      </c>
      <c r="V338">
        <v>11</v>
      </c>
      <c r="W338" cm="1">
        <f t="array" aca="1" ref="W338" ca="1">IF(AND(INDIRECT("B"&amp;(T338+70))="X",INDIRECT("B"&amp;(U338+70))="X",INDIRECT("B"&amp;(V338+70))="X"),1,0)+IF(AND(INDIRECT("C"&amp;(T338+70))="X",INDIRECT("C"&amp;(U338+70))="X",INDIRECT("C"&amp;(V338+70))="X"),1,0)+IF(AND(INDIRECT("D"&amp;(T338+70))="X",INDIRECT("D"&amp;(U338+70))="X",INDIRECT("D"&amp;(V338+70))="X"),1,0)+IF(AND(INDIRECT("E"&amp;(T338+70))="X",INDIRECT("E"&amp;(U338+70))="X",INDIRECT("E"&amp;(V338+70))="X"),1,0)+IF(AND(INDIRECT("F"&amp;(T338+70))="X",INDIRECT("F"&amp;(U338+70))="X",INDIRECT("F"&amp;(V338+70))="X"),1,0)+IF(AND(INDIRECT("G"&amp;(T338+70))="X",INDIRECT("G"&amp;(U338+70))="X",INDIRECT("G"&amp;(V338+70))="X"),1,0)+IF(AND(INDIRECT("H"&amp;(T338+70))="X",INDIRECT("H"&amp;(U338+70))="X",INDIRECT("H"&amp;(V338+70))="X"),1,0)+IF(AND(INDIRECT("I"&amp;(T338+70))="X",INDIRECT("I"&amp;(U338+70))="X",INDIRECT("I"&amp;(V338+70))="X"),1,0)+IF(AND(INDIRECT("J"&amp;(T338+70))="X",INDIRECT("J"&amp;(U338+70))="X",INDIRECT("J"&amp;(V338+70))="X"),1,0)+IF(AND(INDIRECT("K"&amp;(T338+70))="X",INDIRECT("K"&amp;(U338+70))="X",INDIRECT("K"&amp;(V338+70))="X"),1,0)+IF(AND(INDIRECT("L"&amp;(T338+70))="X",INDIRECT("L"&amp;(U338+70))="X",INDIRECT("L"&amp;(V338+70))="X"),1,0)+IF(AND(INDIRECT("M"&amp;(T338+70))="X",INDIRECT("M"&amp;(U338+70))="X",INDIRECT("M"&amp;(V338+70))="X"),1,0)+IF(AND(INDIRECT("N"&amp;(T338+70))="X",INDIRECT("N"&amp;(U338+70))="X",INDIRECT("N"&amp;(V338+70))="X"),1,0)+IF(AND(INDIRECT("O"&amp;(T338+70))="X",INDIRECT("O"&amp;(U338+70))="X",INDIRECT("O"&amp;(V338+70))="X"),1,0)+IF(AND(INDIRECT("P"&amp;(T338+70))="X",INDIRECT("P"&amp;(U338+70))="X",INDIRECT("P"&amp;(V338+70))="X"),1,0)+IF(AND(INDIRECT("Q"&amp;(T338+70))="X",INDIRECT("Q"&amp;(U338+70))="X",INDIRECT("Q"&amp;(V338+70))="X"),1,0)</f>
        <v>0</v>
      </c>
    </row>
    <row r="339" spans="20:23" x14ac:dyDescent="0.3">
      <c r="T339">
        <v>6</v>
      </c>
      <c r="U339">
        <v>7</v>
      </c>
      <c r="V339">
        <v>12</v>
      </c>
      <c r="W339" cm="1">
        <f t="array" aca="1" ref="W339" ca="1">IF(AND(INDIRECT("B"&amp;(T339+70))="X",INDIRECT("B"&amp;(U339+70))="X",INDIRECT("B"&amp;(V339+70))="X"),1,0)+IF(AND(INDIRECT("C"&amp;(T339+70))="X",INDIRECT("C"&amp;(U339+70))="X",INDIRECT("C"&amp;(V339+70))="X"),1,0)+IF(AND(INDIRECT("D"&amp;(T339+70))="X",INDIRECT("D"&amp;(U339+70))="X",INDIRECT("D"&amp;(V339+70))="X"),1,0)+IF(AND(INDIRECT("E"&amp;(T339+70))="X",INDIRECT("E"&amp;(U339+70))="X",INDIRECT("E"&amp;(V339+70))="X"),1,0)+IF(AND(INDIRECT("F"&amp;(T339+70))="X",INDIRECT("F"&amp;(U339+70))="X",INDIRECT("F"&amp;(V339+70))="X"),1,0)+IF(AND(INDIRECT("G"&amp;(T339+70))="X",INDIRECT("G"&amp;(U339+70))="X",INDIRECT("G"&amp;(V339+70))="X"),1,0)+IF(AND(INDIRECT("H"&amp;(T339+70))="X",INDIRECT("H"&amp;(U339+70))="X",INDIRECT("H"&amp;(V339+70))="X"),1,0)+IF(AND(INDIRECT("I"&amp;(T339+70))="X",INDIRECT("I"&amp;(U339+70))="X",INDIRECT("I"&amp;(V339+70))="X"),1,0)+IF(AND(INDIRECT("J"&amp;(T339+70))="X",INDIRECT("J"&amp;(U339+70))="X",INDIRECT("J"&amp;(V339+70))="X"),1,0)+IF(AND(INDIRECT("K"&amp;(T339+70))="X",INDIRECT("K"&amp;(U339+70))="X",INDIRECT("K"&amp;(V339+70))="X"),1,0)+IF(AND(INDIRECT("L"&amp;(T339+70))="X",INDIRECT("L"&amp;(U339+70))="X",INDIRECT("L"&amp;(V339+70))="X"),1,0)+IF(AND(INDIRECT("M"&amp;(T339+70))="X",INDIRECT("M"&amp;(U339+70))="X",INDIRECT("M"&amp;(V339+70))="X"),1,0)+IF(AND(INDIRECT("N"&amp;(T339+70))="X",INDIRECT("N"&amp;(U339+70))="X",INDIRECT("N"&amp;(V339+70))="X"),1,0)+IF(AND(INDIRECT("O"&amp;(T339+70))="X",INDIRECT("O"&amp;(U339+70))="X",INDIRECT("O"&amp;(V339+70))="X"),1,0)+IF(AND(INDIRECT("P"&amp;(T339+70))="X",INDIRECT("P"&amp;(U339+70))="X",INDIRECT("P"&amp;(V339+70))="X"),1,0)+IF(AND(INDIRECT("Q"&amp;(T339+70))="X",INDIRECT("Q"&amp;(U339+70))="X",INDIRECT("Q"&amp;(V339+70))="X"),1,0)</f>
        <v>0</v>
      </c>
    </row>
    <row r="340" spans="20:23" x14ac:dyDescent="0.3">
      <c r="T340">
        <v>6</v>
      </c>
      <c r="U340">
        <v>7</v>
      </c>
      <c r="V340">
        <v>13</v>
      </c>
      <c r="W340" cm="1">
        <f t="array" aca="1" ref="W340" ca="1">IF(AND(INDIRECT("B"&amp;(T340+70))="X",INDIRECT("B"&amp;(U340+70))="X",INDIRECT("B"&amp;(V340+70))="X"),1,0)+IF(AND(INDIRECT("C"&amp;(T340+70))="X",INDIRECT("C"&amp;(U340+70))="X",INDIRECT("C"&amp;(V340+70))="X"),1,0)+IF(AND(INDIRECT("D"&amp;(T340+70))="X",INDIRECT("D"&amp;(U340+70))="X",INDIRECT("D"&amp;(V340+70))="X"),1,0)+IF(AND(INDIRECT("E"&amp;(T340+70))="X",INDIRECT("E"&amp;(U340+70))="X",INDIRECT("E"&amp;(V340+70))="X"),1,0)+IF(AND(INDIRECT("F"&amp;(T340+70))="X",INDIRECT("F"&amp;(U340+70))="X",INDIRECT("F"&amp;(V340+70))="X"),1,0)+IF(AND(INDIRECT("G"&amp;(T340+70))="X",INDIRECT("G"&amp;(U340+70))="X",INDIRECT("G"&amp;(V340+70))="X"),1,0)+IF(AND(INDIRECT("H"&amp;(T340+70))="X",INDIRECT("H"&amp;(U340+70))="X",INDIRECT("H"&amp;(V340+70))="X"),1,0)+IF(AND(INDIRECT("I"&amp;(T340+70))="X",INDIRECT("I"&amp;(U340+70))="X",INDIRECT("I"&amp;(V340+70))="X"),1,0)+IF(AND(INDIRECT("J"&amp;(T340+70))="X",INDIRECT("J"&amp;(U340+70))="X",INDIRECT("J"&amp;(V340+70))="X"),1,0)+IF(AND(INDIRECT("K"&amp;(T340+70))="X",INDIRECT("K"&amp;(U340+70))="X",INDIRECT("K"&amp;(V340+70))="X"),1,0)+IF(AND(INDIRECT("L"&amp;(T340+70))="X",INDIRECT("L"&amp;(U340+70))="X",INDIRECT("L"&amp;(V340+70))="X"),1,0)+IF(AND(INDIRECT("M"&amp;(T340+70))="X",INDIRECT("M"&amp;(U340+70))="X",INDIRECT("M"&amp;(V340+70))="X"),1,0)+IF(AND(INDIRECT("N"&amp;(T340+70))="X",INDIRECT("N"&amp;(U340+70))="X",INDIRECT("N"&amp;(V340+70))="X"),1,0)+IF(AND(INDIRECT("O"&amp;(T340+70))="X",INDIRECT("O"&amp;(U340+70))="X",INDIRECT("O"&amp;(V340+70))="X"),1,0)+IF(AND(INDIRECT("P"&amp;(T340+70))="X",INDIRECT("P"&amp;(U340+70))="X",INDIRECT("P"&amp;(V340+70))="X"),1,0)+IF(AND(INDIRECT("Q"&amp;(T340+70))="X",INDIRECT("Q"&amp;(U340+70))="X",INDIRECT("Q"&amp;(V340+70))="X"),1,0)</f>
        <v>0</v>
      </c>
    </row>
    <row r="341" spans="20:23" x14ac:dyDescent="0.3">
      <c r="T341">
        <v>6</v>
      </c>
      <c r="U341">
        <v>7</v>
      </c>
      <c r="V341">
        <v>14</v>
      </c>
      <c r="W341" cm="1">
        <f t="array" aca="1" ref="W341" ca="1">IF(AND(INDIRECT("B"&amp;(T341+70))="X",INDIRECT("B"&amp;(U341+70))="X",INDIRECT("B"&amp;(V341+70))="X"),1,0)+IF(AND(INDIRECT("C"&amp;(T341+70))="X",INDIRECT("C"&amp;(U341+70))="X",INDIRECT("C"&amp;(V341+70))="X"),1,0)+IF(AND(INDIRECT("D"&amp;(T341+70))="X",INDIRECT("D"&amp;(U341+70))="X",INDIRECT("D"&amp;(V341+70))="X"),1,0)+IF(AND(INDIRECT("E"&amp;(T341+70))="X",INDIRECT("E"&amp;(U341+70))="X",INDIRECT("E"&amp;(V341+70))="X"),1,0)+IF(AND(INDIRECT("F"&amp;(T341+70))="X",INDIRECT("F"&amp;(U341+70))="X",INDIRECT("F"&amp;(V341+70))="X"),1,0)+IF(AND(INDIRECT("G"&amp;(T341+70))="X",INDIRECT("G"&amp;(U341+70))="X",INDIRECT("G"&amp;(V341+70))="X"),1,0)+IF(AND(INDIRECT("H"&amp;(T341+70))="X",INDIRECT("H"&amp;(U341+70))="X",INDIRECT("H"&amp;(V341+70))="X"),1,0)+IF(AND(INDIRECT("I"&amp;(T341+70))="X",INDIRECT("I"&amp;(U341+70))="X",INDIRECT("I"&amp;(V341+70))="X"),1,0)+IF(AND(INDIRECT("J"&amp;(T341+70))="X",INDIRECT("J"&amp;(U341+70))="X",INDIRECT("J"&amp;(V341+70))="X"),1,0)+IF(AND(INDIRECT("K"&amp;(T341+70))="X",INDIRECT("K"&amp;(U341+70))="X",INDIRECT("K"&amp;(V341+70))="X"),1,0)+IF(AND(INDIRECT("L"&amp;(T341+70))="X",INDIRECT("L"&amp;(U341+70))="X",INDIRECT("L"&amp;(V341+70))="X"),1,0)+IF(AND(INDIRECT("M"&amp;(T341+70))="X",INDIRECT("M"&amp;(U341+70))="X",INDIRECT("M"&amp;(V341+70))="X"),1,0)+IF(AND(INDIRECT("N"&amp;(T341+70))="X",INDIRECT("N"&amp;(U341+70))="X",INDIRECT("N"&amp;(V341+70))="X"),1,0)+IF(AND(INDIRECT("O"&amp;(T341+70))="X",INDIRECT("O"&amp;(U341+70))="X",INDIRECT("O"&amp;(V341+70))="X"),1,0)+IF(AND(INDIRECT("P"&amp;(T341+70))="X",INDIRECT("P"&amp;(U341+70))="X",INDIRECT("P"&amp;(V341+70))="X"),1,0)+IF(AND(INDIRECT("Q"&amp;(T341+70))="X",INDIRECT("Q"&amp;(U341+70))="X",INDIRECT("Q"&amp;(V341+70))="X"),1,0)</f>
        <v>0</v>
      </c>
    </row>
    <row r="342" spans="20:23" x14ac:dyDescent="0.3">
      <c r="T342">
        <v>6</v>
      </c>
      <c r="U342">
        <v>8</v>
      </c>
      <c r="V342">
        <v>9</v>
      </c>
      <c r="W342" cm="1">
        <f t="array" aca="1" ref="W342" ca="1">IF(AND(INDIRECT("B"&amp;(T342+70))="X",INDIRECT("B"&amp;(U342+70))="X",INDIRECT("B"&amp;(V342+70))="X"),1,0)+IF(AND(INDIRECT("C"&amp;(T342+70))="X",INDIRECT("C"&amp;(U342+70))="X",INDIRECT("C"&amp;(V342+70))="X"),1,0)+IF(AND(INDIRECT("D"&amp;(T342+70))="X",INDIRECT("D"&amp;(U342+70))="X",INDIRECT("D"&amp;(V342+70))="X"),1,0)+IF(AND(INDIRECT("E"&amp;(T342+70))="X",INDIRECT("E"&amp;(U342+70))="X",INDIRECT("E"&amp;(V342+70))="X"),1,0)+IF(AND(INDIRECT("F"&amp;(T342+70))="X",INDIRECT("F"&amp;(U342+70))="X",INDIRECT("F"&amp;(V342+70))="X"),1,0)+IF(AND(INDIRECT("G"&amp;(T342+70))="X",INDIRECT("G"&amp;(U342+70))="X",INDIRECT("G"&amp;(V342+70))="X"),1,0)+IF(AND(INDIRECT("H"&amp;(T342+70))="X",INDIRECT("H"&amp;(U342+70))="X",INDIRECT("H"&amp;(V342+70))="X"),1,0)+IF(AND(INDIRECT("I"&amp;(T342+70))="X",INDIRECT("I"&amp;(U342+70))="X",INDIRECT("I"&amp;(V342+70))="X"),1,0)+IF(AND(INDIRECT("J"&amp;(T342+70))="X",INDIRECT("J"&amp;(U342+70))="X",INDIRECT("J"&amp;(V342+70))="X"),1,0)+IF(AND(INDIRECT("K"&amp;(T342+70))="X",INDIRECT("K"&amp;(U342+70))="X",INDIRECT("K"&amp;(V342+70))="X"),1,0)+IF(AND(INDIRECT("L"&amp;(T342+70))="X",INDIRECT("L"&amp;(U342+70))="X",INDIRECT("L"&amp;(V342+70))="X"),1,0)+IF(AND(INDIRECT("M"&amp;(T342+70))="X",INDIRECT("M"&amp;(U342+70))="X",INDIRECT("M"&amp;(V342+70))="X"),1,0)+IF(AND(INDIRECT("N"&amp;(T342+70))="X",INDIRECT("N"&amp;(U342+70))="X",INDIRECT("N"&amp;(V342+70))="X"),1,0)+IF(AND(INDIRECT("O"&amp;(T342+70))="X",INDIRECT("O"&amp;(U342+70))="X",INDIRECT("O"&amp;(V342+70))="X"),1,0)+IF(AND(INDIRECT("P"&amp;(T342+70))="X",INDIRECT("P"&amp;(U342+70))="X",INDIRECT("P"&amp;(V342+70))="X"),1,0)+IF(AND(INDIRECT("Q"&amp;(T342+70))="X",INDIRECT("Q"&amp;(U342+70))="X",INDIRECT("Q"&amp;(V342+70))="X"),1,0)</f>
        <v>1</v>
      </c>
    </row>
    <row r="343" spans="20:23" x14ac:dyDescent="0.3">
      <c r="T343">
        <v>6</v>
      </c>
      <c r="U343">
        <v>8</v>
      </c>
      <c r="V343">
        <v>10</v>
      </c>
      <c r="W343" cm="1">
        <f t="array" aca="1" ref="W343" ca="1">IF(AND(INDIRECT("B"&amp;(T343+70))="X",INDIRECT("B"&amp;(U343+70))="X",INDIRECT("B"&amp;(V343+70))="X"),1,0)+IF(AND(INDIRECT("C"&amp;(T343+70))="X",INDIRECT("C"&amp;(U343+70))="X",INDIRECT("C"&amp;(V343+70))="X"),1,0)+IF(AND(INDIRECT("D"&amp;(T343+70))="X",INDIRECT("D"&amp;(U343+70))="X",INDIRECT("D"&amp;(V343+70))="X"),1,0)+IF(AND(INDIRECT("E"&amp;(T343+70))="X",INDIRECT("E"&amp;(U343+70))="X",INDIRECT("E"&amp;(V343+70))="X"),1,0)+IF(AND(INDIRECT("F"&amp;(T343+70))="X",INDIRECT("F"&amp;(U343+70))="X",INDIRECT("F"&amp;(V343+70))="X"),1,0)+IF(AND(INDIRECT("G"&amp;(T343+70))="X",INDIRECT("G"&amp;(U343+70))="X",INDIRECT("G"&amp;(V343+70))="X"),1,0)+IF(AND(INDIRECT("H"&amp;(T343+70))="X",INDIRECT("H"&amp;(U343+70))="X",INDIRECT("H"&amp;(V343+70))="X"),1,0)+IF(AND(INDIRECT("I"&amp;(T343+70))="X",INDIRECT("I"&amp;(U343+70))="X",INDIRECT("I"&amp;(V343+70))="X"),1,0)+IF(AND(INDIRECT("J"&amp;(T343+70))="X",INDIRECT("J"&amp;(U343+70))="X",INDIRECT("J"&amp;(V343+70))="X"),1,0)+IF(AND(INDIRECT("K"&amp;(T343+70))="X",INDIRECT("K"&amp;(U343+70))="X",INDIRECT("K"&amp;(V343+70))="X"),1,0)+IF(AND(INDIRECT("L"&amp;(T343+70))="X",INDIRECT("L"&amp;(U343+70))="X",INDIRECT("L"&amp;(V343+70))="X"),1,0)+IF(AND(INDIRECT("M"&amp;(T343+70))="X",INDIRECT("M"&amp;(U343+70))="X",INDIRECT("M"&amp;(V343+70))="X"),1,0)+IF(AND(INDIRECT("N"&amp;(T343+70))="X",INDIRECT("N"&amp;(U343+70))="X",INDIRECT("N"&amp;(V343+70))="X"),1,0)+IF(AND(INDIRECT("O"&amp;(T343+70))="X",INDIRECT("O"&amp;(U343+70))="X",INDIRECT("O"&amp;(V343+70))="X"),1,0)+IF(AND(INDIRECT("P"&amp;(T343+70))="X",INDIRECT("P"&amp;(U343+70))="X",INDIRECT("P"&amp;(V343+70))="X"),1,0)+IF(AND(INDIRECT("Q"&amp;(T343+70))="X",INDIRECT("Q"&amp;(U343+70))="X",INDIRECT("Q"&amp;(V343+70))="X"),1,0)</f>
        <v>2</v>
      </c>
    </row>
    <row r="344" spans="20:23" x14ac:dyDescent="0.3">
      <c r="T344">
        <v>6</v>
      </c>
      <c r="U344">
        <v>8</v>
      </c>
      <c r="V344">
        <v>11</v>
      </c>
      <c r="W344" cm="1">
        <f t="array" aca="1" ref="W344" ca="1">IF(AND(INDIRECT("B"&amp;(T344+70))="X",INDIRECT("B"&amp;(U344+70))="X",INDIRECT("B"&amp;(V344+70))="X"),1,0)+IF(AND(INDIRECT("C"&amp;(T344+70))="X",INDIRECT("C"&amp;(U344+70))="X",INDIRECT("C"&amp;(V344+70))="X"),1,0)+IF(AND(INDIRECT("D"&amp;(T344+70))="X",INDIRECT("D"&amp;(U344+70))="X",INDIRECT("D"&amp;(V344+70))="X"),1,0)+IF(AND(INDIRECT("E"&amp;(T344+70))="X",INDIRECT("E"&amp;(U344+70))="X",INDIRECT("E"&amp;(V344+70))="X"),1,0)+IF(AND(INDIRECT("F"&amp;(T344+70))="X",INDIRECT("F"&amp;(U344+70))="X",INDIRECT("F"&amp;(V344+70))="X"),1,0)+IF(AND(INDIRECT("G"&amp;(T344+70))="X",INDIRECT("G"&amp;(U344+70))="X",INDIRECT("G"&amp;(V344+70))="X"),1,0)+IF(AND(INDIRECT("H"&amp;(T344+70))="X",INDIRECT("H"&amp;(U344+70))="X",INDIRECT("H"&amp;(V344+70))="X"),1,0)+IF(AND(INDIRECT("I"&amp;(T344+70))="X",INDIRECT("I"&amp;(U344+70))="X",INDIRECT("I"&amp;(V344+70))="X"),1,0)+IF(AND(INDIRECT("J"&amp;(T344+70))="X",INDIRECT("J"&amp;(U344+70))="X",INDIRECT("J"&amp;(V344+70))="X"),1,0)+IF(AND(INDIRECT("K"&amp;(T344+70))="X",INDIRECT("K"&amp;(U344+70))="X",INDIRECT("K"&amp;(V344+70))="X"),1,0)+IF(AND(INDIRECT("L"&amp;(T344+70))="X",INDIRECT("L"&amp;(U344+70))="X",INDIRECT("L"&amp;(V344+70))="X"),1,0)+IF(AND(INDIRECT("M"&amp;(T344+70))="X",INDIRECT("M"&amp;(U344+70))="X",INDIRECT("M"&amp;(V344+70))="X"),1,0)+IF(AND(INDIRECT("N"&amp;(T344+70))="X",INDIRECT("N"&amp;(U344+70))="X",INDIRECT("N"&amp;(V344+70))="X"),1,0)+IF(AND(INDIRECT("O"&amp;(T344+70))="X",INDIRECT("O"&amp;(U344+70))="X",INDIRECT("O"&amp;(V344+70))="X"),1,0)+IF(AND(INDIRECT("P"&amp;(T344+70))="X",INDIRECT("P"&amp;(U344+70))="X",INDIRECT("P"&amp;(V344+70))="X"),1,0)+IF(AND(INDIRECT("Q"&amp;(T344+70))="X",INDIRECT("Q"&amp;(U344+70))="X",INDIRECT("Q"&amp;(V344+70))="X"),1,0)</f>
        <v>0</v>
      </c>
    </row>
    <row r="345" spans="20:23" x14ac:dyDescent="0.3">
      <c r="T345">
        <v>6</v>
      </c>
      <c r="U345">
        <v>8</v>
      </c>
      <c r="V345">
        <v>12</v>
      </c>
      <c r="W345" cm="1">
        <f t="array" aca="1" ref="W345" ca="1">IF(AND(INDIRECT("B"&amp;(T345+70))="X",INDIRECT("B"&amp;(U345+70))="X",INDIRECT("B"&amp;(V345+70))="X"),1,0)+IF(AND(INDIRECT("C"&amp;(T345+70))="X",INDIRECT("C"&amp;(U345+70))="X",INDIRECT("C"&amp;(V345+70))="X"),1,0)+IF(AND(INDIRECT("D"&amp;(T345+70))="X",INDIRECT("D"&amp;(U345+70))="X",INDIRECT("D"&amp;(V345+70))="X"),1,0)+IF(AND(INDIRECT("E"&amp;(T345+70))="X",INDIRECT("E"&amp;(U345+70))="X",INDIRECT("E"&amp;(V345+70))="X"),1,0)+IF(AND(INDIRECT("F"&amp;(T345+70))="X",INDIRECT("F"&amp;(U345+70))="X",INDIRECT("F"&amp;(V345+70))="X"),1,0)+IF(AND(INDIRECT("G"&amp;(T345+70))="X",INDIRECT("G"&amp;(U345+70))="X",INDIRECT("G"&amp;(V345+70))="X"),1,0)+IF(AND(INDIRECT("H"&amp;(T345+70))="X",INDIRECT("H"&amp;(U345+70))="X",INDIRECT("H"&amp;(V345+70))="X"),1,0)+IF(AND(INDIRECT("I"&amp;(T345+70))="X",INDIRECT("I"&amp;(U345+70))="X",INDIRECT("I"&amp;(V345+70))="X"),1,0)+IF(AND(INDIRECT("J"&amp;(T345+70))="X",INDIRECT("J"&amp;(U345+70))="X",INDIRECT("J"&amp;(V345+70))="X"),1,0)+IF(AND(INDIRECT("K"&amp;(T345+70))="X",INDIRECT("K"&amp;(U345+70))="X",INDIRECT("K"&amp;(V345+70))="X"),1,0)+IF(AND(INDIRECT("L"&amp;(T345+70))="X",INDIRECT("L"&amp;(U345+70))="X",INDIRECT("L"&amp;(V345+70))="X"),1,0)+IF(AND(INDIRECT("M"&amp;(T345+70))="X",INDIRECT("M"&amp;(U345+70))="X",INDIRECT("M"&amp;(V345+70))="X"),1,0)+IF(AND(INDIRECT("N"&amp;(T345+70))="X",INDIRECT("N"&amp;(U345+70))="X",INDIRECT("N"&amp;(V345+70))="X"),1,0)+IF(AND(INDIRECT("O"&amp;(T345+70))="X",INDIRECT("O"&amp;(U345+70))="X",INDIRECT("O"&amp;(V345+70))="X"),1,0)+IF(AND(INDIRECT("P"&amp;(T345+70))="X",INDIRECT("P"&amp;(U345+70))="X",INDIRECT("P"&amp;(V345+70))="X"),1,0)+IF(AND(INDIRECT("Q"&amp;(T345+70))="X",INDIRECT("Q"&amp;(U345+70))="X",INDIRECT("Q"&amp;(V345+70))="X"),1,0)</f>
        <v>2</v>
      </c>
    </row>
    <row r="346" spans="20:23" x14ac:dyDescent="0.3">
      <c r="T346">
        <v>6</v>
      </c>
      <c r="U346">
        <v>8</v>
      </c>
      <c r="V346">
        <v>13</v>
      </c>
      <c r="W346" cm="1">
        <f t="array" aca="1" ref="W346" ca="1">IF(AND(INDIRECT("B"&amp;(T346+70))="X",INDIRECT("B"&amp;(U346+70))="X",INDIRECT("B"&amp;(V346+70))="X"),1,0)+IF(AND(INDIRECT("C"&amp;(T346+70))="X",INDIRECT("C"&amp;(U346+70))="X",INDIRECT("C"&amp;(V346+70))="X"),1,0)+IF(AND(INDIRECT("D"&amp;(T346+70))="X",INDIRECT("D"&amp;(U346+70))="X",INDIRECT("D"&amp;(V346+70))="X"),1,0)+IF(AND(INDIRECT("E"&amp;(T346+70))="X",INDIRECT("E"&amp;(U346+70))="X",INDIRECT("E"&amp;(V346+70))="X"),1,0)+IF(AND(INDIRECT("F"&amp;(T346+70))="X",INDIRECT("F"&amp;(U346+70))="X",INDIRECT("F"&amp;(V346+70))="X"),1,0)+IF(AND(INDIRECT("G"&amp;(T346+70))="X",INDIRECT("G"&amp;(U346+70))="X",INDIRECT("G"&amp;(V346+70))="X"),1,0)+IF(AND(INDIRECT("H"&amp;(T346+70))="X",INDIRECT("H"&amp;(U346+70))="X",INDIRECT("H"&amp;(V346+70))="X"),1,0)+IF(AND(INDIRECT("I"&amp;(T346+70))="X",INDIRECT("I"&amp;(U346+70))="X",INDIRECT("I"&amp;(V346+70))="X"),1,0)+IF(AND(INDIRECT("J"&amp;(T346+70))="X",INDIRECT("J"&amp;(U346+70))="X",INDIRECT("J"&amp;(V346+70))="X"),1,0)+IF(AND(INDIRECT("K"&amp;(T346+70))="X",INDIRECT("K"&amp;(U346+70))="X",INDIRECT("K"&amp;(V346+70))="X"),1,0)+IF(AND(INDIRECT("L"&amp;(T346+70))="X",INDIRECT("L"&amp;(U346+70))="X",INDIRECT("L"&amp;(V346+70))="X"),1,0)+IF(AND(INDIRECT("M"&amp;(T346+70))="X",INDIRECT("M"&amp;(U346+70))="X",INDIRECT("M"&amp;(V346+70))="X"),1,0)+IF(AND(INDIRECT("N"&amp;(T346+70))="X",INDIRECT("N"&amp;(U346+70))="X",INDIRECT("N"&amp;(V346+70))="X"),1,0)+IF(AND(INDIRECT("O"&amp;(T346+70))="X",INDIRECT("O"&amp;(U346+70))="X",INDIRECT("O"&amp;(V346+70))="X"),1,0)+IF(AND(INDIRECT("P"&amp;(T346+70))="X",INDIRECT("P"&amp;(U346+70))="X",INDIRECT("P"&amp;(V346+70))="X"),1,0)+IF(AND(INDIRECT("Q"&amp;(T346+70))="X",INDIRECT("Q"&amp;(U346+70))="X",INDIRECT("Q"&amp;(V346+70))="X"),1,0)</f>
        <v>1</v>
      </c>
    </row>
    <row r="347" spans="20:23" x14ac:dyDescent="0.3">
      <c r="T347">
        <v>6</v>
      </c>
      <c r="U347">
        <v>8</v>
      </c>
      <c r="V347">
        <v>14</v>
      </c>
      <c r="W347" cm="1">
        <f t="array" aca="1" ref="W347" ca="1">IF(AND(INDIRECT("B"&amp;(T347+70))="X",INDIRECT("B"&amp;(U347+70))="X",INDIRECT("B"&amp;(V347+70))="X"),1,0)+IF(AND(INDIRECT("C"&amp;(T347+70))="X",INDIRECT("C"&amp;(U347+70))="X",INDIRECT("C"&amp;(V347+70))="X"),1,0)+IF(AND(INDIRECT("D"&amp;(T347+70))="X",INDIRECT("D"&amp;(U347+70))="X",INDIRECT("D"&amp;(V347+70))="X"),1,0)+IF(AND(INDIRECT("E"&amp;(T347+70))="X",INDIRECT("E"&amp;(U347+70))="X",INDIRECT("E"&amp;(V347+70))="X"),1,0)+IF(AND(INDIRECT("F"&amp;(T347+70))="X",INDIRECT("F"&amp;(U347+70))="X",INDIRECT("F"&amp;(V347+70))="X"),1,0)+IF(AND(INDIRECT("G"&amp;(T347+70))="X",INDIRECT("G"&amp;(U347+70))="X",INDIRECT("G"&amp;(V347+70))="X"),1,0)+IF(AND(INDIRECT("H"&amp;(T347+70))="X",INDIRECT("H"&amp;(U347+70))="X",INDIRECT("H"&amp;(V347+70))="X"),1,0)+IF(AND(INDIRECT("I"&amp;(T347+70))="X",INDIRECT("I"&amp;(U347+70))="X",INDIRECT("I"&amp;(V347+70))="X"),1,0)+IF(AND(INDIRECT("J"&amp;(T347+70))="X",INDIRECT("J"&amp;(U347+70))="X",INDIRECT("J"&amp;(V347+70))="X"),1,0)+IF(AND(INDIRECT("K"&amp;(T347+70))="X",INDIRECT("K"&amp;(U347+70))="X",INDIRECT("K"&amp;(V347+70))="X"),1,0)+IF(AND(INDIRECT("L"&amp;(T347+70))="X",INDIRECT("L"&amp;(U347+70))="X",INDIRECT("L"&amp;(V347+70))="X"),1,0)+IF(AND(INDIRECT("M"&amp;(T347+70))="X",INDIRECT("M"&amp;(U347+70))="X",INDIRECT("M"&amp;(V347+70))="X"),1,0)+IF(AND(INDIRECT("N"&amp;(T347+70))="X",INDIRECT("N"&amp;(U347+70))="X",INDIRECT("N"&amp;(V347+70))="X"),1,0)+IF(AND(INDIRECT("O"&amp;(T347+70))="X",INDIRECT("O"&amp;(U347+70))="X",INDIRECT("O"&amp;(V347+70))="X"),1,0)+IF(AND(INDIRECT("P"&amp;(T347+70))="X",INDIRECT("P"&amp;(U347+70))="X",INDIRECT("P"&amp;(V347+70))="X"),1,0)+IF(AND(INDIRECT("Q"&amp;(T347+70))="X",INDIRECT("Q"&amp;(U347+70))="X",INDIRECT("Q"&amp;(V347+70))="X"),1,0)</f>
        <v>2</v>
      </c>
    </row>
    <row r="348" spans="20:23" x14ac:dyDescent="0.3">
      <c r="T348">
        <v>6</v>
      </c>
      <c r="U348">
        <v>9</v>
      </c>
      <c r="V348">
        <v>10</v>
      </c>
      <c r="W348" cm="1">
        <f t="array" aca="1" ref="W348" ca="1">IF(AND(INDIRECT("B"&amp;(T348+70))="X",INDIRECT("B"&amp;(U348+70))="X",INDIRECT("B"&amp;(V348+70))="X"),1,0)+IF(AND(INDIRECT("C"&amp;(T348+70))="X",INDIRECT("C"&amp;(U348+70))="X",INDIRECT("C"&amp;(V348+70))="X"),1,0)+IF(AND(INDIRECT("D"&amp;(T348+70))="X",INDIRECT("D"&amp;(U348+70))="X",INDIRECT("D"&amp;(V348+70))="X"),1,0)+IF(AND(INDIRECT("E"&amp;(T348+70))="X",INDIRECT("E"&amp;(U348+70))="X",INDIRECT("E"&amp;(V348+70))="X"),1,0)+IF(AND(INDIRECT("F"&amp;(T348+70))="X",INDIRECT("F"&amp;(U348+70))="X",INDIRECT("F"&amp;(V348+70))="X"),1,0)+IF(AND(INDIRECT("G"&amp;(T348+70))="X",INDIRECT("G"&amp;(U348+70))="X",INDIRECT("G"&amp;(V348+70))="X"),1,0)+IF(AND(INDIRECT("H"&amp;(T348+70))="X",INDIRECT("H"&amp;(U348+70))="X",INDIRECT("H"&amp;(V348+70))="X"),1,0)+IF(AND(INDIRECT("I"&amp;(T348+70))="X",INDIRECT("I"&amp;(U348+70))="X",INDIRECT("I"&amp;(V348+70))="X"),1,0)+IF(AND(INDIRECT("J"&amp;(T348+70))="X",INDIRECT("J"&amp;(U348+70))="X",INDIRECT("J"&amp;(V348+70))="X"),1,0)+IF(AND(INDIRECT("K"&amp;(T348+70))="X",INDIRECT("K"&amp;(U348+70))="X",INDIRECT("K"&amp;(V348+70))="X"),1,0)+IF(AND(INDIRECT("L"&amp;(T348+70))="X",INDIRECT("L"&amp;(U348+70))="X",INDIRECT("L"&amp;(V348+70))="X"),1,0)+IF(AND(INDIRECT("M"&amp;(T348+70))="X",INDIRECT("M"&amp;(U348+70))="X",INDIRECT("M"&amp;(V348+70))="X"),1,0)+IF(AND(INDIRECT("N"&amp;(T348+70))="X",INDIRECT("N"&amp;(U348+70))="X",INDIRECT("N"&amp;(V348+70))="X"),1,0)+IF(AND(INDIRECT("O"&amp;(T348+70))="X",INDIRECT("O"&amp;(U348+70))="X",INDIRECT("O"&amp;(V348+70))="X"),1,0)+IF(AND(INDIRECT("P"&amp;(T348+70))="X",INDIRECT("P"&amp;(U348+70))="X",INDIRECT("P"&amp;(V348+70))="X"),1,0)+IF(AND(INDIRECT("Q"&amp;(T348+70))="X",INDIRECT("Q"&amp;(U348+70))="X",INDIRECT("Q"&amp;(V348+70))="X"),1,0)</f>
        <v>2</v>
      </c>
    </row>
    <row r="349" spans="20:23" x14ac:dyDescent="0.3">
      <c r="T349">
        <v>6</v>
      </c>
      <c r="U349">
        <v>9</v>
      </c>
      <c r="V349">
        <v>11</v>
      </c>
      <c r="W349" cm="1">
        <f t="array" aca="1" ref="W349" ca="1">IF(AND(INDIRECT("B"&amp;(T349+70))="X",INDIRECT("B"&amp;(U349+70))="X",INDIRECT("B"&amp;(V349+70))="X"),1,0)+IF(AND(INDIRECT("C"&amp;(T349+70))="X",INDIRECT("C"&amp;(U349+70))="X",INDIRECT("C"&amp;(V349+70))="X"),1,0)+IF(AND(INDIRECT("D"&amp;(T349+70))="X",INDIRECT("D"&amp;(U349+70))="X",INDIRECT("D"&amp;(V349+70))="X"),1,0)+IF(AND(INDIRECT("E"&amp;(T349+70))="X",INDIRECT("E"&amp;(U349+70))="X",INDIRECT("E"&amp;(V349+70))="X"),1,0)+IF(AND(INDIRECT("F"&amp;(T349+70))="X",INDIRECT("F"&amp;(U349+70))="X",INDIRECT("F"&amp;(V349+70))="X"),1,0)+IF(AND(INDIRECT("G"&amp;(T349+70))="X",INDIRECT("G"&amp;(U349+70))="X",INDIRECT("G"&amp;(V349+70))="X"),1,0)+IF(AND(INDIRECT("H"&amp;(T349+70))="X",INDIRECT("H"&amp;(U349+70))="X",INDIRECT("H"&amp;(V349+70))="X"),1,0)+IF(AND(INDIRECT("I"&amp;(T349+70))="X",INDIRECT("I"&amp;(U349+70))="X",INDIRECT("I"&amp;(V349+70))="X"),1,0)+IF(AND(INDIRECT("J"&amp;(T349+70))="X",INDIRECT("J"&amp;(U349+70))="X",INDIRECT("J"&amp;(V349+70))="X"),1,0)+IF(AND(INDIRECT("K"&amp;(T349+70))="X",INDIRECT("K"&amp;(U349+70))="X",INDIRECT("K"&amp;(V349+70))="X"),1,0)+IF(AND(INDIRECT("L"&amp;(T349+70))="X",INDIRECT("L"&amp;(U349+70))="X",INDIRECT("L"&amp;(V349+70))="X"),1,0)+IF(AND(INDIRECT("M"&amp;(T349+70))="X",INDIRECT("M"&amp;(U349+70))="X",INDIRECT("M"&amp;(V349+70))="X"),1,0)+IF(AND(INDIRECT("N"&amp;(T349+70))="X",INDIRECT("N"&amp;(U349+70))="X",INDIRECT("N"&amp;(V349+70))="X"),1,0)+IF(AND(INDIRECT("O"&amp;(T349+70))="X",INDIRECT("O"&amp;(U349+70))="X",INDIRECT("O"&amp;(V349+70))="X"),1,0)+IF(AND(INDIRECT("P"&amp;(T349+70))="X",INDIRECT("P"&amp;(U349+70))="X",INDIRECT("P"&amp;(V349+70))="X"),1,0)+IF(AND(INDIRECT("Q"&amp;(T349+70))="X",INDIRECT("Q"&amp;(U349+70))="X",INDIRECT("Q"&amp;(V349+70))="X"),1,0)</f>
        <v>1</v>
      </c>
    </row>
    <row r="350" spans="20:23" x14ac:dyDescent="0.3">
      <c r="T350">
        <v>6</v>
      </c>
      <c r="U350">
        <v>9</v>
      </c>
      <c r="V350">
        <v>12</v>
      </c>
      <c r="W350" cm="1">
        <f t="array" aca="1" ref="W350" ca="1">IF(AND(INDIRECT("B"&amp;(T350+70))="X",INDIRECT("B"&amp;(U350+70))="X",INDIRECT("B"&amp;(V350+70))="X"),1,0)+IF(AND(INDIRECT("C"&amp;(T350+70))="X",INDIRECT("C"&amp;(U350+70))="X",INDIRECT("C"&amp;(V350+70))="X"),1,0)+IF(AND(INDIRECT("D"&amp;(T350+70))="X",INDIRECT("D"&amp;(U350+70))="X",INDIRECT("D"&amp;(V350+70))="X"),1,0)+IF(AND(INDIRECT("E"&amp;(T350+70))="X",INDIRECT("E"&amp;(U350+70))="X",INDIRECT("E"&amp;(V350+70))="X"),1,0)+IF(AND(INDIRECT("F"&amp;(T350+70))="X",INDIRECT("F"&amp;(U350+70))="X",INDIRECT("F"&amp;(V350+70))="X"),1,0)+IF(AND(INDIRECT("G"&amp;(T350+70))="X",INDIRECT("G"&amp;(U350+70))="X",INDIRECT("G"&amp;(V350+70))="X"),1,0)+IF(AND(INDIRECT("H"&amp;(T350+70))="X",INDIRECT("H"&amp;(U350+70))="X",INDIRECT("H"&amp;(V350+70))="X"),1,0)+IF(AND(INDIRECT("I"&amp;(T350+70))="X",INDIRECT("I"&amp;(U350+70))="X",INDIRECT("I"&amp;(V350+70))="X"),1,0)+IF(AND(INDIRECT("J"&amp;(T350+70))="X",INDIRECT("J"&amp;(U350+70))="X",INDIRECT("J"&amp;(V350+70))="X"),1,0)+IF(AND(INDIRECT("K"&amp;(T350+70))="X",INDIRECT("K"&amp;(U350+70))="X",INDIRECT("K"&amp;(V350+70))="X"),1,0)+IF(AND(INDIRECT("L"&amp;(T350+70))="X",INDIRECT("L"&amp;(U350+70))="X",INDIRECT("L"&amp;(V350+70))="X"),1,0)+IF(AND(INDIRECT("M"&amp;(T350+70))="X",INDIRECT("M"&amp;(U350+70))="X",INDIRECT("M"&amp;(V350+70))="X"),1,0)+IF(AND(INDIRECT("N"&amp;(T350+70))="X",INDIRECT("N"&amp;(U350+70))="X",INDIRECT("N"&amp;(V350+70))="X"),1,0)+IF(AND(INDIRECT("O"&amp;(T350+70))="X",INDIRECT("O"&amp;(U350+70))="X",INDIRECT("O"&amp;(V350+70))="X"),1,0)+IF(AND(INDIRECT("P"&amp;(T350+70))="X",INDIRECT("P"&amp;(U350+70))="X",INDIRECT("P"&amp;(V350+70))="X"),1,0)+IF(AND(INDIRECT("Q"&amp;(T350+70))="X",INDIRECT("Q"&amp;(U350+70))="X",INDIRECT("Q"&amp;(V350+70))="X"),1,0)</f>
        <v>0</v>
      </c>
    </row>
    <row r="351" spans="20:23" x14ac:dyDescent="0.3">
      <c r="T351">
        <v>6</v>
      </c>
      <c r="U351">
        <v>9</v>
      </c>
      <c r="V351">
        <v>13</v>
      </c>
      <c r="W351" cm="1">
        <f t="array" aca="1" ref="W351" ca="1">IF(AND(INDIRECT("B"&amp;(T351+70))="X",INDIRECT("B"&amp;(U351+70))="X",INDIRECT("B"&amp;(V351+70))="X"),1,0)+IF(AND(INDIRECT("C"&amp;(T351+70))="X",INDIRECT("C"&amp;(U351+70))="X",INDIRECT("C"&amp;(V351+70))="X"),1,0)+IF(AND(INDIRECT("D"&amp;(T351+70))="X",INDIRECT("D"&amp;(U351+70))="X",INDIRECT("D"&amp;(V351+70))="X"),1,0)+IF(AND(INDIRECT("E"&amp;(T351+70))="X",INDIRECT("E"&amp;(U351+70))="X",INDIRECT("E"&amp;(V351+70))="X"),1,0)+IF(AND(INDIRECT("F"&amp;(T351+70))="X",INDIRECT("F"&amp;(U351+70))="X",INDIRECT("F"&amp;(V351+70))="X"),1,0)+IF(AND(INDIRECT("G"&amp;(T351+70))="X",INDIRECT("G"&amp;(U351+70))="X",INDIRECT("G"&amp;(V351+70))="X"),1,0)+IF(AND(INDIRECT("H"&amp;(T351+70))="X",INDIRECT("H"&amp;(U351+70))="X",INDIRECT("H"&amp;(V351+70))="X"),1,0)+IF(AND(INDIRECT("I"&amp;(T351+70))="X",INDIRECT("I"&amp;(U351+70))="X",INDIRECT("I"&amp;(V351+70))="X"),1,0)+IF(AND(INDIRECT("J"&amp;(T351+70))="X",INDIRECT("J"&amp;(U351+70))="X",INDIRECT("J"&amp;(V351+70))="X"),1,0)+IF(AND(INDIRECT("K"&amp;(T351+70))="X",INDIRECT("K"&amp;(U351+70))="X",INDIRECT("K"&amp;(V351+70))="X"),1,0)+IF(AND(INDIRECT("L"&amp;(T351+70))="X",INDIRECT("L"&amp;(U351+70))="X",INDIRECT("L"&amp;(V351+70))="X"),1,0)+IF(AND(INDIRECT("M"&amp;(T351+70))="X",INDIRECT("M"&amp;(U351+70))="X",INDIRECT("M"&amp;(V351+70))="X"),1,0)+IF(AND(INDIRECT("N"&amp;(T351+70))="X",INDIRECT("N"&amp;(U351+70))="X",INDIRECT("N"&amp;(V351+70))="X"),1,0)+IF(AND(INDIRECT("O"&amp;(T351+70))="X",INDIRECT("O"&amp;(U351+70))="X",INDIRECT("O"&amp;(V351+70))="X"),1,0)+IF(AND(INDIRECT("P"&amp;(T351+70))="X",INDIRECT("P"&amp;(U351+70))="X",INDIRECT("P"&amp;(V351+70))="X"),1,0)+IF(AND(INDIRECT("Q"&amp;(T351+70))="X",INDIRECT("Q"&amp;(U351+70))="X",INDIRECT("Q"&amp;(V351+70))="X"),1,0)</f>
        <v>1</v>
      </c>
    </row>
    <row r="352" spans="20:23" x14ac:dyDescent="0.3">
      <c r="T352">
        <v>6</v>
      </c>
      <c r="U352">
        <v>9</v>
      </c>
      <c r="V352">
        <v>14</v>
      </c>
      <c r="W352" cm="1">
        <f t="array" aca="1" ref="W352" ca="1">IF(AND(INDIRECT("B"&amp;(T352+70))="X",INDIRECT("B"&amp;(U352+70))="X",INDIRECT("B"&amp;(V352+70))="X"),1,0)+IF(AND(INDIRECT("C"&amp;(T352+70))="X",INDIRECT("C"&amp;(U352+70))="X",INDIRECT("C"&amp;(V352+70))="X"),1,0)+IF(AND(INDIRECT("D"&amp;(T352+70))="X",INDIRECT("D"&amp;(U352+70))="X",INDIRECT("D"&amp;(V352+70))="X"),1,0)+IF(AND(INDIRECT("E"&amp;(T352+70))="X",INDIRECT("E"&amp;(U352+70))="X",INDIRECT("E"&amp;(V352+70))="X"),1,0)+IF(AND(INDIRECT("F"&amp;(T352+70))="X",INDIRECT("F"&amp;(U352+70))="X",INDIRECT("F"&amp;(V352+70))="X"),1,0)+IF(AND(INDIRECT("G"&amp;(T352+70))="X",INDIRECT("G"&amp;(U352+70))="X",INDIRECT("G"&amp;(V352+70))="X"),1,0)+IF(AND(INDIRECT("H"&amp;(T352+70))="X",INDIRECT("H"&amp;(U352+70))="X",INDIRECT("H"&amp;(V352+70))="X"),1,0)+IF(AND(INDIRECT("I"&amp;(T352+70))="X",INDIRECT("I"&amp;(U352+70))="X",INDIRECT("I"&amp;(V352+70))="X"),1,0)+IF(AND(INDIRECT("J"&amp;(T352+70))="X",INDIRECT("J"&amp;(U352+70))="X",INDIRECT("J"&amp;(V352+70))="X"),1,0)+IF(AND(INDIRECT("K"&amp;(T352+70))="X",INDIRECT("K"&amp;(U352+70))="X",INDIRECT("K"&amp;(V352+70))="X"),1,0)+IF(AND(INDIRECT("L"&amp;(T352+70))="X",INDIRECT("L"&amp;(U352+70))="X",INDIRECT("L"&amp;(V352+70))="X"),1,0)+IF(AND(INDIRECT("M"&amp;(T352+70))="X",INDIRECT("M"&amp;(U352+70))="X",INDIRECT("M"&amp;(V352+70))="X"),1,0)+IF(AND(INDIRECT("N"&amp;(T352+70))="X",INDIRECT("N"&amp;(U352+70))="X",INDIRECT("N"&amp;(V352+70))="X"),1,0)+IF(AND(INDIRECT("O"&amp;(T352+70))="X",INDIRECT("O"&amp;(U352+70))="X",INDIRECT("O"&amp;(V352+70))="X"),1,0)+IF(AND(INDIRECT("P"&amp;(T352+70))="X",INDIRECT("P"&amp;(U352+70))="X",INDIRECT("P"&amp;(V352+70))="X"),1,0)+IF(AND(INDIRECT("Q"&amp;(T352+70))="X",INDIRECT("Q"&amp;(U352+70))="X",INDIRECT("Q"&amp;(V352+70))="X"),1,0)</f>
        <v>0</v>
      </c>
    </row>
    <row r="353" spans="20:23" x14ac:dyDescent="0.3">
      <c r="T353">
        <v>6</v>
      </c>
      <c r="U353">
        <v>10</v>
      </c>
      <c r="V353">
        <v>11</v>
      </c>
      <c r="W353" cm="1">
        <f t="array" aca="1" ref="W353" ca="1">IF(AND(INDIRECT("B"&amp;(T353+70))="X",INDIRECT("B"&amp;(U353+70))="X",INDIRECT("B"&amp;(V353+70))="X"),1,0)+IF(AND(INDIRECT("C"&amp;(T353+70))="X",INDIRECT("C"&amp;(U353+70))="X",INDIRECT("C"&amp;(V353+70))="X"),1,0)+IF(AND(INDIRECT("D"&amp;(T353+70))="X",INDIRECT("D"&amp;(U353+70))="X",INDIRECT("D"&amp;(V353+70))="X"),1,0)+IF(AND(INDIRECT("E"&amp;(T353+70))="X",INDIRECT("E"&amp;(U353+70))="X",INDIRECT("E"&amp;(V353+70))="X"),1,0)+IF(AND(INDIRECT("F"&amp;(T353+70))="X",INDIRECT("F"&amp;(U353+70))="X",INDIRECT("F"&amp;(V353+70))="X"),1,0)+IF(AND(INDIRECT("G"&amp;(T353+70))="X",INDIRECT("G"&amp;(U353+70))="X",INDIRECT("G"&amp;(V353+70))="X"),1,0)+IF(AND(INDIRECT("H"&amp;(T353+70))="X",INDIRECT("H"&amp;(U353+70))="X",INDIRECT("H"&amp;(V353+70))="X"),1,0)+IF(AND(INDIRECT("I"&amp;(T353+70))="X",INDIRECT("I"&amp;(U353+70))="X",INDIRECT("I"&amp;(V353+70))="X"),1,0)+IF(AND(INDIRECT("J"&amp;(T353+70))="X",INDIRECT("J"&amp;(U353+70))="X",INDIRECT("J"&amp;(V353+70))="X"),1,0)+IF(AND(INDIRECT("K"&amp;(T353+70))="X",INDIRECT("K"&amp;(U353+70))="X",INDIRECT("K"&amp;(V353+70))="X"),1,0)+IF(AND(INDIRECT("L"&amp;(T353+70))="X",INDIRECT("L"&amp;(U353+70))="X",INDIRECT("L"&amp;(V353+70))="X"),1,0)+IF(AND(INDIRECT("M"&amp;(T353+70))="X",INDIRECT("M"&amp;(U353+70))="X",INDIRECT("M"&amp;(V353+70))="X"),1,0)+IF(AND(INDIRECT("N"&amp;(T353+70))="X",INDIRECT("N"&amp;(U353+70))="X",INDIRECT("N"&amp;(V353+70))="X"),1,0)+IF(AND(INDIRECT("O"&amp;(T353+70))="X",INDIRECT("O"&amp;(U353+70))="X",INDIRECT("O"&amp;(V353+70))="X"),1,0)+IF(AND(INDIRECT("P"&amp;(T353+70))="X",INDIRECT("P"&amp;(U353+70))="X",INDIRECT("P"&amp;(V353+70))="X"),1,0)+IF(AND(INDIRECT("Q"&amp;(T353+70))="X",INDIRECT("Q"&amp;(U353+70))="X",INDIRECT("Q"&amp;(V353+70))="X"),1,0)</f>
        <v>2</v>
      </c>
    </row>
    <row r="354" spans="20:23" x14ac:dyDescent="0.3">
      <c r="T354">
        <v>6</v>
      </c>
      <c r="U354">
        <v>10</v>
      </c>
      <c r="V354">
        <v>12</v>
      </c>
      <c r="W354" cm="1">
        <f t="array" aca="1" ref="W354" ca="1">IF(AND(INDIRECT("B"&amp;(T354+70))="X",INDIRECT("B"&amp;(U354+70))="X",INDIRECT("B"&amp;(V354+70))="X"),1,0)+IF(AND(INDIRECT("C"&amp;(T354+70))="X",INDIRECT("C"&amp;(U354+70))="X",INDIRECT("C"&amp;(V354+70))="X"),1,0)+IF(AND(INDIRECT("D"&amp;(T354+70))="X",INDIRECT("D"&amp;(U354+70))="X",INDIRECT("D"&amp;(V354+70))="X"),1,0)+IF(AND(INDIRECT("E"&amp;(T354+70))="X",INDIRECT("E"&amp;(U354+70))="X",INDIRECT("E"&amp;(V354+70))="X"),1,0)+IF(AND(INDIRECT("F"&amp;(T354+70))="X",INDIRECT("F"&amp;(U354+70))="X",INDIRECT("F"&amp;(V354+70))="X"),1,0)+IF(AND(INDIRECT("G"&amp;(T354+70))="X",INDIRECT("G"&amp;(U354+70))="X",INDIRECT("G"&amp;(V354+70))="X"),1,0)+IF(AND(INDIRECT("H"&amp;(T354+70))="X",INDIRECT("H"&amp;(U354+70))="X",INDIRECT("H"&amp;(V354+70))="X"),1,0)+IF(AND(INDIRECT("I"&amp;(T354+70))="X",INDIRECT("I"&amp;(U354+70))="X",INDIRECT("I"&amp;(V354+70))="X"),1,0)+IF(AND(INDIRECT("J"&amp;(T354+70))="X",INDIRECT("J"&amp;(U354+70))="X",INDIRECT("J"&amp;(V354+70))="X"),1,0)+IF(AND(INDIRECT("K"&amp;(T354+70))="X",INDIRECT("K"&amp;(U354+70))="X",INDIRECT("K"&amp;(V354+70))="X"),1,0)+IF(AND(INDIRECT("L"&amp;(T354+70))="X",INDIRECT("L"&amp;(U354+70))="X",INDIRECT("L"&amp;(V354+70))="X"),1,0)+IF(AND(INDIRECT("M"&amp;(T354+70))="X",INDIRECT("M"&amp;(U354+70))="X",INDIRECT("M"&amp;(V354+70))="X"),1,0)+IF(AND(INDIRECT("N"&amp;(T354+70))="X",INDIRECT("N"&amp;(U354+70))="X",INDIRECT("N"&amp;(V354+70))="X"),1,0)+IF(AND(INDIRECT("O"&amp;(T354+70))="X",INDIRECT("O"&amp;(U354+70))="X",INDIRECT("O"&amp;(V354+70))="X"),1,0)+IF(AND(INDIRECT("P"&amp;(T354+70))="X",INDIRECT("P"&amp;(U354+70))="X",INDIRECT("P"&amp;(V354+70))="X"),1,0)+IF(AND(INDIRECT("Q"&amp;(T354+70))="X",INDIRECT("Q"&amp;(U354+70))="X",INDIRECT("Q"&amp;(V354+70))="X"),1,0)</f>
        <v>1</v>
      </c>
    </row>
    <row r="355" spans="20:23" x14ac:dyDescent="0.3">
      <c r="T355">
        <v>6</v>
      </c>
      <c r="U355">
        <v>10</v>
      </c>
      <c r="V355">
        <v>13</v>
      </c>
      <c r="W355" cm="1">
        <f t="array" aca="1" ref="W355" ca="1">IF(AND(INDIRECT("B"&amp;(T355+70))="X",INDIRECT("B"&amp;(U355+70))="X",INDIRECT("B"&amp;(V355+70))="X"),1,0)+IF(AND(INDIRECT("C"&amp;(T355+70))="X",INDIRECT("C"&amp;(U355+70))="X",INDIRECT("C"&amp;(V355+70))="X"),1,0)+IF(AND(INDIRECT("D"&amp;(T355+70))="X",INDIRECT("D"&amp;(U355+70))="X",INDIRECT("D"&amp;(V355+70))="X"),1,0)+IF(AND(INDIRECT("E"&amp;(T355+70))="X",INDIRECT("E"&amp;(U355+70))="X",INDIRECT("E"&amp;(V355+70))="X"),1,0)+IF(AND(INDIRECT("F"&amp;(T355+70))="X",INDIRECT("F"&amp;(U355+70))="X",INDIRECT("F"&amp;(V355+70))="X"),1,0)+IF(AND(INDIRECT("G"&amp;(T355+70))="X",INDIRECT("G"&amp;(U355+70))="X",INDIRECT("G"&amp;(V355+70))="X"),1,0)+IF(AND(INDIRECT("H"&amp;(T355+70))="X",INDIRECT("H"&amp;(U355+70))="X",INDIRECT("H"&amp;(V355+70))="X"),1,0)+IF(AND(INDIRECT("I"&amp;(T355+70))="X",INDIRECT("I"&amp;(U355+70))="X",INDIRECT("I"&amp;(V355+70))="X"),1,0)+IF(AND(INDIRECT("J"&amp;(T355+70))="X",INDIRECT("J"&amp;(U355+70))="X",INDIRECT("J"&amp;(V355+70))="X"),1,0)+IF(AND(INDIRECT("K"&amp;(T355+70))="X",INDIRECT("K"&amp;(U355+70))="X",INDIRECT("K"&amp;(V355+70))="X"),1,0)+IF(AND(INDIRECT("L"&amp;(T355+70))="X",INDIRECT("L"&amp;(U355+70))="X",INDIRECT("L"&amp;(V355+70))="X"),1,0)+IF(AND(INDIRECT("M"&amp;(T355+70))="X",INDIRECT("M"&amp;(U355+70))="X",INDIRECT("M"&amp;(V355+70))="X"),1,0)+IF(AND(INDIRECT("N"&amp;(T355+70))="X",INDIRECT("N"&amp;(U355+70))="X",INDIRECT("N"&amp;(V355+70))="X"),1,0)+IF(AND(INDIRECT("O"&amp;(T355+70))="X",INDIRECT("O"&amp;(U355+70))="X",INDIRECT("O"&amp;(V355+70))="X"),1,0)+IF(AND(INDIRECT("P"&amp;(T355+70))="X",INDIRECT("P"&amp;(U355+70))="X",INDIRECT("P"&amp;(V355+70))="X"),1,0)+IF(AND(INDIRECT("Q"&amp;(T355+70))="X",INDIRECT("Q"&amp;(U355+70))="X",INDIRECT("Q"&amp;(V355+70))="X"),1,0)</f>
        <v>1</v>
      </c>
    </row>
    <row r="356" spans="20:23" x14ac:dyDescent="0.3">
      <c r="T356">
        <v>6</v>
      </c>
      <c r="U356">
        <v>10</v>
      </c>
      <c r="V356">
        <v>14</v>
      </c>
      <c r="W356" cm="1">
        <f t="array" aca="1" ref="W356" ca="1">IF(AND(INDIRECT("B"&amp;(T356+70))="X",INDIRECT("B"&amp;(U356+70))="X",INDIRECT("B"&amp;(V356+70))="X"),1,0)+IF(AND(INDIRECT("C"&amp;(T356+70))="X",INDIRECT("C"&amp;(U356+70))="X",INDIRECT("C"&amp;(V356+70))="X"),1,0)+IF(AND(INDIRECT("D"&amp;(T356+70))="X",INDIRECT("D"&amp;(U356+70))="X",INDIRECT("D"&amp;(V356+70))="X"),1,0)+IF(AND(INDIRECT("E"&amp;(T356+70))="X",INDIRECT("E"&amp;(U356+70))="X",INDIRECT("E"&amp;(V356+70))="X"),1,0)+IF(AND(INDIRECT("F"&amp;(T356+70))="X",INDIRECT("F"&amp;(U356+70))="X",INDIRECT("F"&amp;(V356+70))="X"),1,0)+IF(AND(INDIRECT("G"&amp;(T356+70))="X",INDIRECT("G"&amp;(U356+70))="X",INDIRECT("G"&amp;(V356+70))="X"),1,0)+IF(AND(INDIRECT("H"&amp;(T356+70))="X",INDIRECT("H"&amp;(U356+70))="X",INDIRECT("H"&amp;(V356+70))="X"),1,0)+IF(AND(INDIRECT("I"&amp;(T356+70))="X",INDIRECT("I"&amp;(U356+70))="X",INDIRECT("I"&amp;(V356+70))="X"),1,0)+IF(AND(INDIRECT("J"&amp;(T356+70))="X",INDIRECT("J"&amp;(U356+70))="X",INDIRECT("J"&amp;(V356+70))="X"),1,0)+IF(AND(INDIRECT("K"&amp;(T356+70))="X",INDIRECT("K"&amp;(U356+70))="X",INDIRECT("K"&amp;(V356+70))="X"),1,0)+IF(AND(INDIRECT("L"&amp;(T356+70))="X",INDIRECT("L"&amp;(U356+70))="X",INDIRECT("L"&amp;(V356+70))="X"),1,0)+IF(AND(INDIRECT("M"&amp;(T356+70))="X",INDIRECT("M"&amp;(U356+70))="X",INDIRECT("M"&amp;(V356+70))="X"),1,0)+IF(AND(INDIRECT("N"&amp;(T356+70))="X",INDIRECT("N"&amp;(U356+70))="X",INDIRECT("N"&amp;(V356+70))="X"),1,0)+IF(AND(INDIRECT("O"&amp;(T356+70))="X",INDIRECT("O"&amp;(U356+70))="X",INDIRECT("O"&amp;(V356+70))="X"),1,0)+IF(AND(INDIRECT("P"&amp;(T356+70))="X",INDIRECT("P"&amp;(U356+70))="X",INDIRECT("P"&amp;(V356+70))="X"),1,0)+IF(AND(INDIRECT("Q"&amp;(T356+70))="X",INDIRECT("Q"&amp;(U356+70))="X",INDIRECT("Q"&amp;(V356+70))="X"),1,0)</f>
        <v>2</v>
      </c>
    </row>
    <row r="357" spans="20:23" x14ac:dyDescent="0.3">
      <c r="T357">
        <v>6</v>
      </c>
      <c r="U357">
        <v>11</v>
      </c>
      <c r="V357">
        <v>12</v>
      </c>
      <c r="W357" cm="1">
        <f t="array" aca="1" ref="W357" ca="1">IF(AND(INDIRECT("B"&amp;(T357+70))="X",INDIRECT("B"&amp;(U357+70))="X",INDIRECT("B"&amp;(V357+70))="X"),1,0)+IF(AND(INDIRECT("C"&amp;(T357+70))="X",INDIRECT("C"&amp;(U357+70))="X",INDIRECT("C"&amp;(V357+70))="X"),1,0)+IF(AND(INDIRECT("D"&amp;(T357+70))="X",INDIRECT("D"&amp;(U357+70))="X",INDIRECT("D"&amp;(V357+70))="X"),1,0)+IF(AND(INDIRECT("E"&amp;(T357+70))="X",INDIRECT("E"&amp;(U357+70))="X",INDIRECT("E"&amp;(V357+70))="X"),1,0)+IF(AND(INDIRECT("F"&amp;(T357+70))="X",INDIRECT("F"&amp;(U357+70))="X",INDIRECT("F"&amp;(V357+70))="X"),1,0)+IF(AND(INDIRECT("G"&amp;(T357+70))="X",INDIRECT("G"&amp;(U357+70))="X",INDIRECT("G"&amp;(V357+70))="X"),1,0)+IF(AND(INDIRECT("H"&amp;(T357+70))="X",INDIRECT("H"&amp;(U357+70))="X",INDIRECT("H"&amp;(V357+70))="X"),1,0)+IF(AND(INDIRECT("I"&amp;(T357+70))="X",INDIRECT("I"&amp;(U357+70))="X",INDIRECT("I"&amp;(V357+70))="X"),1,0)+IF(AND(INDIRECT("J"&amp;(T357+70))="X",INDIRECT("J"&amp;(U357+70))="X",INDIRECT("J"&amp;(V357+70))="X"),1,0)+IF(AND(INDIRECT("K"&amp;(T357+70))="X",INDIRECT("K"&amp;(U357+70))="X",INDIRECT("K"&amp;(V357+70))="X"),1,0)+IF(AND(INDIRECT("L"&amp;(T357+70))="X",INDIRECT("L"&amp;(U357+70))="X",INDIRECT("L"&amp;(V357+70))="X"),1,0)+IF(AND(INDIRECT("M"&amp;(T357+70))="X",INDIRECT("M"&amp;(U357+70))="X",INDIRECT("M"&amp;(V357+70))="X"),1,0)+IF(AND(INDIRECT("N"&amp;(T357+70))="X",INDIRECT("N"&amp;(U357+70))="X",INDIRECT("N"&amp;(V357+70))="X"),1,0)+IF(AND(INDIRECT("O"&amp;(T357+70))="X",INDIRECT("O"&amp;(U357+70))="X",INDIRECT("O"&amp;(V357+70))="X"),1,0)+IF(AND(INDIRECT("P"&amp;(T357+70))="X",INDIRECT("P"&amp;(U357+70))="X",INDIRECT("P"&amp;(V357+70))="X"),1,0)+IF(AND(INDIRECT("Q"&amp;(T357+70))="X",INDIRECT("Q"&amp;(U357+70))="X",INDIRECT("Q"&amp;(V357+70))="X"),1,0)</f>
        <v>1</v>
      </c>
    </row>
    <row r="358" spans="20:23" x14ac:dyDescent="0.3">
      <c r="T358">
        <v>6</v>
      </c>
      <c r="U358">
        <v>11</v>
      </c>
      <c r="V358">
        <v>13</v>
      </c>
      <c r="W358" cm="1">
        <f t="array" aca="1" ref="W358" ca="1">IF(AND(INDIRECT("B"&amp;(T358+70))="X",INDIRECT("B"&amp;(U358+70))="X",INDIRECT("B"&amp;(V358+70))="X"),1,0)+IF(AND(INDIRECT("C"&amp;(T358+70))="X",INDIRECT("C"&amp;(U358+70))="X",INDIRECT("C"&amp;(V358+70))="X"),1,0)+IF(AND(INDIRECT("D"&amp;(T358+70))="X",INDIRECT("D"&amp;(U358+70))="X",INDIRECT("D"&amp;(V358+70))="X"),1,0)+IF(AND(INDIRECT("E"&amp;(T358+70))="X",INDIRECT("E"&amp;(U358+70))="X",INDIRECT("E"&amp;(V358+70))="X"),1,0)+IF(AND(INDIRECT("F"&amp;(T358+70))="X",INDIRECT("F"&amp;(U358+70))="X",INDIRECT("F"&amp;(V358+70))="X"),1,0)+IF(AND(INDIRECT("G"&amp;(T358+70))="X",INDIRECT("G"&amp;(U358+70))="X",INDIRECT("G"&amp;(V358+70))="X"),1,0)+IF(AND(INDIRECT("H"&amp;(T358+70))="X",INDIRECT("H"&amp;(U358+70))="X",INDIRECT("H"&amp;(V358+70))="X"),1,0)+IF(AND(INDIRECT("I"&amp;(T358+70))="X",INDIRECT("I"&amp;(U358+70))="X",INDIRECT("I"&amp;(V358+70))="X"),1,0)+IF(AND(INDIRECT("J"&amp;(T358+70))="X",INDIRECT("J"&amp;(U358+70))="X",INDIRECT("J"&amp;(V358+70))="X"),1,0)+IF(AND(INDIRECT("K"&amp;(T358+70))="X",INDIRECT("K"&amp;(U358+70))="X",INDIRECT("K"&amp;(V358+70))="X"),1,0)+IF(AND(INDIRECT("L"&amp;(T358+70))="X",INDIRECT("L"&amp;(U358+70))="X",INDIRECT("L"&amp;(V358+70))="X"),1,0)+IF(AND(INDIRECT("M"&amp;(T358+70))="X",INDIRECT("M"&amp;(U358+70))="X",INDIRECT("M"&amp;(V358+70))="X"),1,0)+IF(AND(INDIRECT("N"&amp;(T358+70))="X",INDIRECT("N"&amp;(U358+70))="X",INDIRECT("N"&amp;(V358+70))="X"),1,0)+IF(AND(INDIRECT("O"&amp;(T358+70))="X",INDIRECT("O"&amp;(U358+70))="X",INDIRECT("O"&amp;(V358+70))="X"),1,0)+IF(AND(INDIRECT("P"&amp;(T358+70))="X",INDIRECT("P"&amp;(U358+70))="X",INDIRECT("P"&amp;(V358+70))="X"),1,0)+IF(AND(INDIRECT("Q"&amp;(T358+70))="X",INDIRECT("Q"&amp;(U358+70))="X",INDIRECT("Q"&amp;(V358+70))="X"),1,0)</f>
        <v>1</v>
      </c>
    </row>
    <row r="359" spans="20:23" x14ac:dyDescent="0.3">
      <c r="T359">
        <v>6</v>
      </c>
      <c r="U359">
        <v>11</v>
      </c>
      <c r="V359">
        <v>14</v>
      </c>
      <c r="W359" cm="1">
        <f t="array" aca="1" ref="W359" ca="1">IF(AND(INDIRECT("B"&amp;(T359+70))="X",INDIRECT("B"&amp;(U359+70))="X",INDIRECT("B"&amp;(V359+70))="X"),1,0)+IF(AND(INDIRECT("C"&amp;(T359+70))="X",INDIRECT("C"&amp;(U359+70))="X",INDIRECT("C"&amp;(V359+70))="X"),1,0)+IF(AND(INDIRECT("D"&amp;(T359+70))="X",INDIRECT("D"&amp;(U359+70))="X",INDIRECT("D"&amp;(V359+70))="X"),1,0)+IF(AND(INDIRECT("E"&amp;(T359+70))="X",INDIRECT("E"&amp;(U359+70))="X",INDIRECT("E"&amp;(V359+70))="X"),1,0)+IF(AND(INDIRECT("F"&amp;(T359+70))="X",INDIRECT("F"&amp;(U359+70))="X",INDIRECT("F"&amp;(V359+70))="X"),1,0)+IF(AND(INDIRECT("G"&amp;(T359+70))="X",INDIRECT("G"&amp;(U359+70))="X",INDIRECT("G"&amp;(V359+70))="X"),1,0)+IF(AND(INDIRECT("H"&amp;(T359+70))="X",INDIRECT("H"&amp;(U359+70))="X",INDIRECT("H"&amp;(V359+70))="X"),1,0)+IF(AND(INDIRECT("I"&amp;(T359+70))="X",INDIRECT("I"&amp;(U359+70))="X",INDIRECT("I"&amp;(V359+70))="X"),1,0)+IF(AND(INDIRECT("J"&amp;(T359+70))="X",INDIRECT("J"&amp;(U359+70))="X",INDIRECT("J"&amp;(V359+70))="X"),1,0)+IF(AND(INDIRECT("K"&amp;(T359+70))="X",INDIRECT("K"&amp;(U359+70))="X",INDIRECT("K"&amp;(V359+70))="X"),1,0)+IF(AND(INDIRECT("L"&amp;(T359+70))="X",INDIRECT("L"&amp;(U359+70))="X",INDIRECT("L"&amp;(V359+70))="X"),1,0)+IF(AND(INDIRECT("M"&amp;(T359+70))="X",INDIRECT("M"&amp;(U359+70))="X",INDIRECT("M"&amp;(V359+70))="X"),1,0)+IF(AND(INDIRECT("N"&amp;(T359+70))="X",INDIRECT("N"&amp;(U359+70))="X",INDIRECT("N"&amp;(V359+70))="X"),1,0)+IF(AND(INDIRECT("O"&amp;(T359+70))="X",INDIRECT("O"&amp;(U359+70))="X",INDIRECT("O"&amp;(V359+70))="X"),1,0)+IF(AND(INDIRECT("P"&amp;(T359+70))="X",INDIRECT("P"&amp;(U359+70))="X",INDIRECT("P"&amp;(V359+70))="X"),1,0)+IF(AND(INDIRECT("Q"&amp;(T359+70))="X",INDIRECT("Q"&amp;(U359+70))="X",INDIRECT("Q"&amp;(V359+70))="X"),1,0)</f>
        <v>1</v>
      </c>
    </row>
    <row r="360" spans="20:23" x14ac:dyDescent="0.3">
      <c r="T360">
        <v>6</v>
      </c>
      <c r="U360">
        <v>12</v>
      </c>
      <c r="V360">
        <v>13</v>
      </c>
      <c r="W360" cm="1">
        <f t="array" aca="1" ref="W360" ca="1">IF(AND(INDIRECT("B"&amp;(T360+70))="X",INDIRECT("B"&amp;(U360+70))="X",INDIRECT("B"&amp;(V360+70))="X"),1,0)+IF(AND(INDIRECT("C"&amp;(T360+70))="X",INDIRECT("C"&amp;(U360+70))="X",INDIRECT("C"&amp;(V360+70))="X"),1,0)+IF(AND(INDIRECT("D"&amp;(T360+70))="X",INDIRECT("D"&amp;(U360+70))="X",INDIRECT("D"&amp;(V360+70))="X"),1,0)+IF(AND(INDIRECT("E"&amp;(T360+70))="X",INDIRECT("E"&amp;(U360+70))="X",INDIRECT("E"&amp;(V360+70))="X"),1,0)+IF(AND(INDIRECT("F"&amp;(T360+70))="X",INDIRECT("F"&amp;(U360+70))="X",INDIRECT("F"&amp;(V360+70))="X"),1,0)+IF(AND(INDIRECT("G"&amp;(T360+70))="X",INDIRECT("G"&amp;(U360+70))="X",INDIRECT("G"&amp;(V360+70))="X"),1,0)+IF(AND(INDIRECT("H"&amp;(T360+70))="X",INDIRECT("H"&amp;(U360+70))="X",INDIRECT("H"&amp;(V360+70))="X"),1,0)+IF(AND(INDIRECT("I"&amp;(T360+70))="X",INDIRECT("I"&amp;(U360+70))="X",INDIRECT("I"&amp;(V360+70))="X"),1,0)+IF(AND(INDIRECT("J"&amp;(T360+70))="X",INDIRECT("J"&amp;(U360+70))="X",INDIRECT("J"&amp;(V360+70))="X"),1,0)+IF(AND(INDIRECT("K"&amp;(T360+70))="X",INDIRECT("K"&amp;(U360+70))="X",INDIRECT("K"&amp;(V360+70))="X"),1,0)+IF(AND(INDIRECT("L"&amp;(T360+70))="X",INDIRECT("L"&amp;(U360+70))="X",INDIRECT("L"&amp;(V360+70))="X"),1,0)+IF(AND(INDIRECT("M"&amp;(T360+70))="X",INDIRECT("M"&amp;(U360+70))="X",INDIRECT("M"&amp;(V360+70))="X"),1,0)+IF(AND(INDIRECT("N"&amp;(T360+70))="X",INDIRECT("N"&amp;(U360+70))="X",INDIRECT("N"&amp;(V360+70))="X"),1,0)+IF(AND(INDIRECT("O"&amp;(T360+70))="X",INDIRECT("O"&amp;(U360+70))="X",INDIRECT("O"&amp;(V360+70))="X"),1,0)+IF(AND(INDIRECT("P"&amp;(T360+70))="X",INDIRECT("P"&amp;(U360+70))="X",INDIRECT("P"&amp;(V360+70))="X"),1,0)+IF(AND(INDIRECT("Q"&amp;(T360+70))="X",INDIRECT("Q"&amp;(U360+70))="X",INDIRECT("Q"&amp;(V360+70))="X"),1,0)</f>
        <v>1</v>
      </c>
    </row>
    <row r="361" spans="20:23" x14ac:dyDescent="0.3">
      <c r="T361">
        <v>6</v>
      </c>
      <c r="U361">
        <v>12</v>
      </c>
      <c r="V361">
        <v>14</v>
      </c>
      <c r="W361" cm="1">
        <f t="array" aca="1" ref="W361" ca="1">IF(AND(INDIRECT("B"&amp;(T361+70))="X",INDIRECT("B"&amp;(U361+70))="X",INDIRECT("B"&amp;(V361+70))="X"),1,0)+IF(AND(INDIRECT("C"&amp;(T361+70))="X",INDIRECT("C"&amp;(U361+70))="X",INDIRECT("C"&amp;(V361+70))="X"),1,0)+IF(AND(INDIRECT("D"&amp;(T361+70))="X",INDIRECT("D"&amp;(U361+70))="X",INDIRECT("D"&amp;(V361+70))="X"),1,0)+IF(AND(INDIRECT("E"&amp;(T361+70))="X",INDIRECT("E"&amp;(U361+70))="X",INDIRECT("E"&amp;(V361+70))="X"),1,0)+IF(AND(INDIRECT("F"&amp;(T361+70))="X",INDIRECT("F"&amp;(U361+70))="X",INDIRECT("F"&amp;(V361+70))="X"),1,0)+IF(AND(INDIRECT("G"&amp;(T361+70))="X",INDIRECT("G"&amp;(U361+70))="X",INDIRECT("G"&amp;(V361+70))="X"),1,0)+IF(AND(INDIRECT("H"&amp;(T361+70))="X",INDIRECT("H"&amp;(U361+70))="X",INDIRECT("H"&amp;(V361+70))="X"),1,0)+IF(AND(INDIRECT("I"&amp;(T361+70))="X",INDIRECT("I"&amp;(U361+70))="X",INDIRECT("I"&amp;(V361+70))="X"),1,0)+IF(AND(INDIRECT("J"&amp;(T361+70))="X",INDIRECT("J"&amp;(U361+70))="X",INDIRECT("J"&amp;(V361+70))="X"),1,0)+IF(AND(INDIRECT("K"&amp;(T361+70))="X",INDIRECT("K"&amp;(U361+70))="X",INDIRECT("K"&amp;(V361+70))="X"),1,0)+IF(AND(INDIRECT("L"&amp;(T361+70))="X",INDIRECT("L"&amp;(U361+70))="X",INDIRECT("L"&amp;(V361+70))="X"),1,0)+IF(AND(INDIRECT("M"&amp;(T361+70))="X",INDIRECT("M"&amp;(U361+70))="X",INDIRECT("M"&amp;(V361+70))="X"),1,0)+IF(AND(INDIRECT("N"&amp;(T361+70))="X",INDIRECT("N"&amp;(U361+70))="X",INDIRECT("N"&amp;(V361+70))="X"),1,0)+IF(AND(INDIRECT("O"&amp;(T361+70))="X",INDIRECT("O"&amp;(U361+70))="X",INDIRECT("O"&amp;(V361+70))="X"),1,0)+IF(AND(INDIRECT("P"&amp;(T361+70))="X",INDIRECT("P"&amp;(U361+70))="X",INDIRECT("P"&amp;(V361+70))="X"),1,0)+IF(AND(INDIRECT("Q"&amp;(T361+70))="X",INDIRECT("Q"&amp;(U361+70))="X",INDIRECT("Q"&amp;(V361+70))="X"),1,0)</f>
        <v>2</v>
      </c>
    </row>
    <row r="362" spans="20:23" x14ac:dyDescent="0.3">
      <c r="T362">
        <v>6</v>
      </c>
      <c r="U362">
        <v>13</v>
      </c>
      <c r="V362">
        <v>14</v>
      </c>
      <c r="W362" cm="1">
        <f t="array" aca="1" ref="W362" ca="1">IF(AND(INDIRECT("B"&amp;(T362+70))="X",INDIRECT("B"&amp;(U362+70))="X",INDIRECT("B"&amp;(V362+70))="X"),1,0)+IF(AND(INDIRECT("C"&amp;(T362+70))="X",INDIRECT("C"&amp;(U362+70))="X",INDIRECT("C"&amp;(V362+70))="X"),1,0)+IF(AND(INDIRECT("D"&amp;(T362+70))="X",INDIRECT("D"&amp;(U362+70))="X",INDIRECT("D"&amp;(V362+70))="X"),1,0)+IF(AND(INDIRECT("E"&amp;(T362+70))="X",INDIRECT("E"&amp;(U362+70))="X",INDIRECT("E"&amp;(V362+70))="X"),1,0)+IF(AND(INDIRECT("F"&amp;(T362+70))="X",INDIRECT("F"&amp;(U362+70))="X",INDIRECT("F"&amp;(V362+70))="X"),1,0)+IF(AND(INDIRECT("G"&amp;(T362+70))="X",INDIRECT("G"&amp;(U362+70))="X",INDIRECT("G"&amp;(V362+70))="X"),1,0)+IF(AND(INDIRECT("H"&amp;(T362+70))="X",INDIRECT("H"&amp;(U362+70))="X",INDIRECT("H"&amp;(V362+70))="X"),1,0)+IF(AND(INDIRECT("I"&amp;(T362+70))="X",INDIRECT("I"&amp;(U362+70))="X",INDIRECT("I"&amp;(V362+70))="X"),1,0)+IF(AND(INDIRECT("J"&amp;(T362+70))="X",INDIRECT("J"&amp;(U362+70))="X",INDIRECT("J"&amp;(V362+70))="X"),1,0)+IF(AND(INDIRECT("K"&amp;(T362+70))="X",INDIRECT("K"&amp;(U362+70))="X",INDIRECT("K"&amp;(V362+70))="X"),1,0)+IF(AND(INDIRECT("L"&amp;(T362+70))="X",INDIRECT("L"&amp;(U362+70))="X",INDIRECT("L"&amp;(V362+70))="X"),1,0)+IF(AND(INDIRECT("M"&amp;(T362+70))="X",INDIRECT("M"&amp;(U362+70))="X",INDIRECT("M"&amp;(V362+70))="X"),1,0)+IF(AND(INDIRECT("N"&amp;(T362+70))="X",INDIRECT("N"&amp;(U362+70))="X",INDIRECT("N"&amp;(V362+70))="X"),1,0)+IF(AND(INDIRECT("O"&amp;(T362+70))="X",INDIRECT("O"&amp;(U362+70))="X",INDIRECT("O"&amp;(V362+70))="X"),1,0)+IF(AND(INDIRECT("P"&amp;(T362+70))="X",INDIRECT("P"&amp;(U362+70))="X",INDIRECT("P"&amp;(V362+70))="X"),1,0)+IF(AND(INDIRECT("Q"&amp;(T362+70))="X",INDIRECT("Q"&amp;(U362+70))="X",INDIRECT("Q"&amp;(V362+70))="X"),1,0)</f>
        <v>0</v>
      </c>
    </row>
    <row r="363" spans="20:23" x14ac:dyDescent="0.3">
      <c r="T363">
        <v>7</v>
      </c>
      <c r="U363">
        <v>8</v>
      </c>
      <c r="V363">
        <v>9</v>
      </c>
      <c r="W363" cm="1">
        <f t="array" aca="1" ref="W363" ca="1">IF(AND(INDIRECT("B"&amp;(T363+70))="X",INDIRECT("B"&amp;(U363+70))="X",INDIRECT("B"&amp;(V363+70))="X"),1,0)+IF(AND(INDIRECT("C"&amp;(T363+70))="X",INDIRECT("C"&amp;(U363+70))="X",INDIRECT("C"&amp;(V363+70))="X"),1,0)+IF(AND(INDIRECT("D"&amp;(T363+70))="X",INDIRECT("D"&amp;(U363+70))="X",INDIRECT("D"&amp;(V363+70))="X"),1,0)+IF(AND(INDIRECT("E"&amp;(T363+70))="X",INDIRECT("E"&amp;(U363+70))="X",INDIRECT("E"&amp;(V363+70))="X"),1,0)+IF(AND(INDIRECT("F"&amp;(T363+70))="X",INDIRECT("F"&amp;(U363+70))="X",INDIRECT("F"&amp;(V363+70))="X"),1,0)+IF(AND(INDIRECT("G"&amp;(T363+70))="X",INDIRECT("G"&amp;(U363+70))="X",INDIRECT("G"&amp;(V363+70))="X"),1,0)+IF(AND(INDIRECT("H"&amp;(T363+70))="X",INDIRECT("H"&amp;(U363+70))="X",INDIRECT("H"&amp;(V363+70))="X"),1,0)+IF(AND(INDIRECT("I"&amp;(T363+70))="X",INDIRECT("I"&amp;(U363+70))="X",INDIRECT("I"&amp;(V363+70))="X"),1,0)+IF(AND(INDIRECT("J"&amp;(T363+70))="X",INDIRECT("J"&amp;(U363+70))="X",INDIRECT("J"&amp;(V363+70))="X"),1,0)+IF(AND(INDIRECT("K"&amp;(T363+70))="X",INDIRECT("K"&amp;(U363+70))="X",INDIRECT("K"&amp;(V363+70))="X"),1,0)+IF(AND(INDIRECT("L"&amp;(T363+70))="X",INDIRECT("L"&amp;(U363+70))="X",INDIRECT("L"&amp;(V363+70))="X"),1,0)+IF(AND(INDIRECT("M"&amp;(T363+70))="X",INDIRECT("M"&amp;(U363+70))="X",INDIRECT("M"&amp;(V363+70))="X"),1,0)+IF(AND(INDIRECT("N"&amp;(T363+70))="X",INDIRECT("N"&amp;(U363+70))="X",INDIRECT("N"&amp;(V363+70))="X"),1,0)+IF(AND(INDIRECT("O"&amp;(T363+70))="X",INDIRECT("O"&amp;(U363+70))="X",INDIRECT("O"&amp;(V363+70))="X"),1,0)+IF(AND(INDIRECT("P"&amp;(T363+70))="X",INDIRECT("P"&amp;(U363+70))="X",INDIRECT("P"&amp;(V363+70))="X"),1,0)+IF(AND(INDIRECT("Q"&amp;(T363+70))="X",INDIRECT("Q"&amp;(U363+70))="X",INDIRECT("Q"&amp;(V363+70))="X"),1,0)</f>
        <v>1</v>
      </c>
    </row>
    <row r="364" spans="20:23" x14ac:dyDescent="0.3">
      <c r="T364">
        <v>7</v>
      </c>
      <c r="U364">
        <v>8</v>
      </c>
      <c r="V364">
        <v>10</v>
      </c>
      <c r="W364" cm="1">
        <f t="array" aca="1" ref="W364" ca="1">IF(AND(INDIRECT("B"&amp;(T364+70))="X",INDIRECT("B"&amp;(U364+70))="X",INDIRECT("B"&amp;(V364+70))="X"),1,0)+IF(AND(INDIRECT("C"&amp;(T364+70))="X",INDIRECT("C"&amp;(U364+70))="X",INDIRECT("C"&amp;(V364+70))="X"),1,0)+IF(AND(INDIRECT("D"&amp;(T364+70))="X",INDIRECT("D"&amp;(U364+70))="X",INDIRECT("D"&amp;(V364+70))="X"),1,0)+IF(AND(INDIRECT("E"&amp;(T364+70))="X",INDIRECT("E"&amp;(U364+70))="X",INDIRECT("E"&amp;(V364+70))="X"),1,0)+IF(AND(INDIRECT("F"&amp;(T364+70))="X",INDIRECT("F"&amp;(U364+70))="X",INDIRECT("F"&amp;(V364+70))="X"),1,0)+IF(AND(INDIRECT("G"&amp;(T364+70))="X",INDIRECT("G"&amp;(U364+70))="X",INDIRECT("G"&amp;(V364+70))="X"),1,0)+IF(AND(INDIRECT("H"&amp;(T364+70))="X",INDIRECT("H"&amp;(U364+70))="X",INDIRECT("H"&amp;(V364+70))="X"),1,0)+IF(AND(INDIRECT("I"&amp;(T364+70))="X",INDIRECT("I"&amp;(U364+70))="X",INDIRECT("I"&amp;(V364+70))="X"),1,0)+IF(AND(INDIRECT("J"&amp;(T364+70))="X",INDIRECT("J"&amp;(U364+70))="X",INDIRECT("J"&amp;(V364+70))="X"),1,0)+IF(AND(INDIRECT("K"&amp;(T364+70))="X",INDIRECT("K"&amp;(U364+70))="X",INDIRECT("K"&amp;(V364+70))="X"),1,0)+IF(AND(INDIRECT("L"&amp;(T364+70))="X",INDIRECT("L"&amp;(U364+70))="X",INDIRECT("L"&amp;(V364+70))="X"),1,0)+IF(AND(INDIRECT("M"&amp;(T364+70))="X",INDIRECT("M"&amp;(U364+70))="X",INDIRECT("M"&amp;(V364+70))="X"),1,0)+IF(AND(INDIRECT("N"&amp;(T364+70))="X",INDIRECT("N"&amp;(U364+70))="X",INDIRECT("N"&amp;(V364+70))="X"),1,0)+IF(AND(INDIRECT("O"&amp;(T364+70))="X",INDIRECT("O"&amp;(U364+70))="X",INDIRECT("O"&amp;(V364+70))="X"),1,0)+IF(AND(INDIRECT("P"&amp;(T364+70))="X",INDIRECT("P"&amp;(U364+70))="X",INDIRECT("P"&amp;(V364+70))="X"),1,0)+IF(AND(INDIRECT("Q"&amp;(T364+70))="X",INDIRECT("Q"&amp;(U364+70))="X",INDIRECT("Q"&amp;(V364+70))="X"),1,0)</f>
        <v>1</v>
      </c>
    </row>
    <row r="365" spans="20:23" x14ac:dyDescent="0.3">
      <c r="T365">
        <v>7</v>
      </c>
      <c r="U365">
        <v>8</v>
      </c>
      <c r="V365">
        <v>11</v>
      </c>
      <c r="W365" cm="1">
        <f t="array" aca="1" ref="W365" ca="1">IF(AND(INDIRECT("B"&amp;(T365+70))="X",INDIRECT("B"&amp;(U365+70))="X",INDIRECT("B"&amp;(V365+70))="X"),1,0)+IF(AND(INDIRECT("C"&amp;(T365+70))="X",INDIRECT("C"&amp;(U365+70))="X",INDIRECT("C"&amp;(V365+70))="X"),1,0)+IF(AND(INDIRECT("D"&amp;(T365+70))="X",INDIRECT("D"&amp;(U365+70))="X",INDIRECT("D"&amp;(V365+70))="X"),1,0)+IF(AND(INDIRECT("E"&amp;(T365+70))="X",INDIRECT("E"&amp;(U365+70))="X",INDIRECT("E"&amp;(V365+70))="X"),1,0)+IF(AND(INDIRECT("F"&amp;(T365+70))="X",INDIRECT("F"&amp;(U365+70))="X",INDIRECT("F"&amp;(V365+70))="X"),1,0)+IF(AND(INDIRECT("G"&amp;(T365+70))="X",INDIRECT("G"&amp;(U365+70))="X",INDIRECT("G"&amp;(V365+70))="X"),1,0)+IF(AND(INDIRECT("H"&amp;(T365+70))="X",INDIRECT("H"&amp;(U365+70))="X",INDIRECT("H"&amp;(V365+70))="X"),1,0)+IF(AND(INDIRECT("I"&amp;(T365+70))="X",INDIRECT("I"&amp;(U365+70))="X",INDIRECT("I"&amp;(V365+70))="X"),1,0)+IF(AND(INDIRECT("J"&amp;(T365+70))="X",INDIRECT("J"&amp;(U365+70))="X",INDIRECT("J"&amp;(V365+70))="X"),1,0)+IF(AND(INDIRECT("K"&amp;(T365+70))="X",INDIRECT("K"&amp;(U365+70))="X",INDIRECT("K"&amp;(V365+70))="X"),1,0)+IF(AND(INDIRECT("L"&amp;(T365+70))="X",INDIRECT("L"&amp;(U365+70))="X",INDIRECT("L"&amp;(V365+70))="X"),1,0)+IF(AND(INDIRECT("M"&amp;(T365+70))="X",INDIRECT("M"&amp;(U365+70))="X",INDIRECT("M"&amp;(V365+70))="X"),1,0)+IF(AND(INDIRECT("N"&amp;(T365+70))="X",INDIRECT("N"&amp;(U365+70))="X",INDIRECT("N"&amp;(V365+70))="X"),1,0)+IF(AND(INDIRECT("O"&amp;(T365+70))="X",INDIRECT("O"&amp;(U365+70))="X",INDIRECT("O"&amp;(V365+70))="X"),1,0)+IF(AND(INDIRECT("P"&amp;(T365+70))="X",INDIRECT("P"&amp;(U365+70))="X",INDIRECT("P"&amp;(V365+70))="X"),1,0)+IF(AND(INDIRECT("Q"&amp;(T365+70))="X",INDIRECT("Q"&amp;(U365+70))="X",INDIRECT("Q"&amp;(V365+70))="X"),1,0)</f>
        <v>1</v>
      </c>
    </row>
    <row r="366" spans="20:23" x14ac:dyDescent="0.3">
      <c r="T366">
        <v>7</v>
      </c>
      <c r="U366">
        <v>8</v>
      </c>
      <c r="V366">
        <v>12</v>
      </c>
      <c r="W366" cm="1">
        <f t="array" aca="1" ref="W366" ca="1">IF(AND(INDIRECT("B"&amp;(T366+70))="X",INDIRECT("B"&amp;(U366+70))="X",INDIRECT("B"&amp;(V366+70))="X"),1,0)+IF(AND(INDIRECT("C"&amp;(T366+70))="X",INDIRECT("C"&amp;(U366+70))="X",INDIRECT("C"&amp;(V366+70))="X"),1,0)+IF(AND(INDIRECT("D"&amp;(T366+70))="X",INDIRECT("D"&amp;(U366+70))="X",INDIRECT("D"&amp;(V366+70))="X"),1,0)+IF(AND(INDIRECT("E"&amp;(T366+70))="X",INDIRECT("E"&amp;(U366+70))="X",INDIRECT("E"&amp;(V366+70))="X"),1,0)+IF(AND(INDIRECT("F"&amp;(T366+70))="X",INDIRECT("F"&amp;(U366+70))="X",INDIRECT("F"&amp;(V366+70))="X"),1,0)+IF(AND(INDIRECT("G"&amp;(T366+70))="X",INDIRECT("G"&amp;(U366+70))="X",INDIRECT("G"&amp;(V366+70))="X"),1,0)+IF(AND(INDIRECT("H"&amp;(T366+70))="X",INDIRECT("H"&amp;(U366+70))="X",INDIRECT("H"&amp;(V366+70))="X"),1,0)+IF(AND(INDIRECT("I"&amp;(T366+70))="X",INDIRECT("I"&amp;(U366+70))="X",INDIRECT("I"&amp;(V366+70))="X"),1,0)+IF(AND(INDIRECT("J"&amp;(T366+70))="X",INDIRECT("J"&amp;(U366+70))="X",INDIRECT("J"&amp;(V366+70))="X"),1,0)+IF(AND(INDIRECT("K"&amp;(T366+70))="X",INDIRECT("K"&amp;(U366+70))="X",INDIRECT("K"&amp;(V366+70))="X"),1,0)+IF(AND(INDIRECT("L"&amp;(T366+70))="X",INDIRECT("L"&amp;(U366+70))="X",INDIRECT("L"&amp;(V366+70))="X"),1,0)+IF(AND(INDIRECT("M"&amp;(T366+70))="X",INDIRECT("M"&amp;(U366+70))="X",INDIRECT("M"&amp;(V366+70))="X"),1,0)+IF(AND(INDIRECT("N"&amp;(T366+70))="X",INDIRECT("N"&amp;(U366+70))="X",INDIRECT("N"&amp;(V366+70))="X"),1,0)+IF(AND(INDIRECT("O"&amp;(T366+70))="X",INDIRECT("O"&amp;(U366+70))="X",INDIRECT("O"&amp;(V366+70))="X"),1,0)+IF(AND(INDIRECT("P"&amp;(T366+70))="X",INDIRECT("P"&amp;(U366+70))="X",INDIRECT("P"&amp;(V366+70))="X"),1,0)+IF(AND(INDIRECT("Q"&amp;(T366+70))="X",INDIRECT("Q"&amp;(U366+70))="X",INDIRECT("Q"&amp;(V366+70))="X"),1,0)</f>
        <v>3</v>
      </c>
    </row>
    <row r="367" spans="20:23" x14ac:dyDescent="0.3">
      <c r="T367">
        <v>7</v>
      </c>
      <c r="U367">
        <v>8</v>
      </c>
      <c r="V367">
        <v>13</v>
      </c>
      <c r="W367" cm="1">
        <f t="array" aca="1" ref="W367" ca="1">IF(AND(INDIRECT("B"&amp;(T367+70))="X",INDIRECT("B"&amp;(U367+70))="X",INDIRECT("B"&amp;(V367+70))="X"),1,0)+IF(AND(INDIRECT("C"&amp;(T367+70))="X",INDIRECT("C"&amp;(U367+70))="X",INDIRECT("C"&amp;(V367+70))="X"),1,0)+IF(AND(INDIRECT("D"&amp;(T367+70))="X",INDIRECT("D"&amp;(U367+70))="X",INDIRECT("D"&amp;(V367+70))="X"),1,0)+IF(AND(INDIRECT("E"&amp;(T367+70))="X",INDIRECT("E"&amp;(U367+70))="X",INDIRECT("E"&amp;(V367+70))="X"),1,0)+IF(AND(INDIRECT("F"&amp;(T367+70))="X",INDIRECT("F"&amp;(U367+70))="X",INDIRECT("F"&amp;(V367+70))="X"),1,0)+IF(AND(INDIRECT("G"&amp;(T367+70))="X",INDIRECT("G"&amp;(U367+70))="X",INDIRECT("G"&amp;(V367+70))="X"),1,0)+IF(AND(INDIRECT("H"&amp;(T367+70))="X",INDIRECT("H"&amp;(U367+70))="X",INDIRECT("H"&amp;(V367+70))="X"),1,0)+IF(AND(INDIRECT("I"&amp;(T367+70))="X",INDIRECT("I"&amp;(U367+70))="X",INDIRECT("I"&amp;(V367+70))="X"),1,0)+IF(AND(INDIRECT("J"&amp;(T367+70))="X",INDIRECT("J"&amp;(U367+70))="X",INDIRECT("J"&amp;(V367+70))="X"),1,0)+IF(AND(INDIRECT("K"&amp;(T367+70))="X",INDIRECT("K"&amp;(U367+70))="X",INDIRECT("K"&amp;(V367+70))="X"),1,0)+IF(AND(INDIRECT("L"&amp;(T367+70))="X",INDIRECT("L"&amp;(U367+70))="X",INDIRECT("L"&amp;(V367+70))="X"),1,0)+IF(AND(INDIRECT("M"&amp;(T367+70))="X",INDIRECT("M"&amp;(U367+70))="X",INDIRECT("M"&amp;(V367+70))="X"),1,0)+IF(AND(INDIRECT("N"&amp;(T367+70))="X",INDIRECT("N"&amp;(U367+70))="X",INDIRECT("N"&amp;(V367+70))="X"),1,0)+IF(AND(INDIRECT("O"&amp;(T367+70))="X",INDIRECT("O"&amp;(U367+70))="X",INDIRECT("O"&amp;(V367+70))="X"),1,0)+IF(AND(INDIRECT("P"&amp;(T367+70))="X",INDIRECT("P"&amp;(U367+70))="X",INDIRECT("P"&amp;(V367+70))="X"),1,0)+IF(AND(INDIRECT("Q"&amp;(T367+70))="X",INDIRECT("Q"&amp;(U367+70))="X",INDIRECT("Q"&amp;(V367+70))="X"),1,0)</f>
        <v>2</v>
      </c>
    </row>
    <row r="368" spans="20:23" x14ac:dyDescent="0.3">
      <c r="T368">
        <v>7</v>
      </c>
      <c r="U368">
        <v>8</v>
      </c>
      <c r="V368">
        <v>14</v>
      </c>
      <c r="W368" cm="1">
        <f t="array" aca="1" ref="W368" ca="1">IF(AND(INDIRECT("B"&amp;(T368+70))="X",INDIRECT("B"&amp;(U368+70))="X",INDIRECT("B"&amp;(V368+70))="X"),1,0)+IF(AND(INDIRECT("C"&amp;(T368+70))="X",INDIRECT("C"&amp;(U368+70))="X",INDIRECT("C"&amp;(V368+70))="X"),1,0)+IF(AND(INDIRECT("D"&amp;(T368+70))="X",INDIRECT("D"&amp;(U368+70))="X",INDIRECT("D"&amp;(V368+70))="X"),1,0)+IF(AND(INDIRECT("E"&amp;(T368+70))="X",INDIRECT("E"&amp;(U368+70))="X",INDIRECT("E"&amp;(V368+70))="X"),1,0)+IF(AND(INDIRECT("F"&amp;(T368+70))="X",INDIRECT("F"&amp;(U368+70))="X",INDIRECT("F"&amp;(V368+70))="X"),1,0)+IF(AND(INDIRECT("G"&amp;(T368+70))="X",INDIRECT("G"&amp;(U368+70))="X",INDIRECT("G"&amp;(V368+70))="X"),1,0)+IF(AND(INDIRECT("H"&amp;(T368+70))="X",INDIRECT("H"&amp;(U368+70))="X",INDIRECT("H"&amp;(V368+70))="X"),1,0)+IF(AND(INDIRECT("I"&amp;(T368+70))="X",INDIRECT("I"&amp;(U368+70))="X",INDIRECT("I"&amp;(V368+70))="X"),1,0)+IF(AND(INDIRECT("J"&amp;(T368+70))="X",INDIRECT("J"&amp;(U368+70))="X",INDIRECT("J"&amp;(V368+70))="X"),1,0)+IF(AND(INDIRECT("K"&amp;(T368+70))="X",INDIRECT("K"&amp;(U368+70))="X",INDIRECT("K"&amp;(V368+70))="X"),1,0)+IF(AND(INDIRECT("L"&amp;(T368+70))="X",INDIRECT("L"&amp;(U368+70))="X",INDIRECT("L"&amp;(V368+70))="X"),1,0)+IF(AND(INDIRECT("M"&amp;(T368+70))="X",INDIRECT("M"&amp;(U368+70))="X",INDIRECT("M"&amp;(V368+70))="X"),1,0)+IF(AND(INDIRECT("N"&amp;(T368+70))="X",INDIRECT("N"&amp;(U368+70))="X",INDIRECT("N"&amp;(V368+70))="X"),1,0)+IF(AND(INDIRECT("O"&amp;(T368+70))="X",INDIRECT("O"&amp;(U368+70))="X",INDIRECT("O"&amp;(V368+70))="X"),1,0)+IF(AND(INDIRECT("P"&amp;(T368+70))="X",INDIRECT("P"&amp;(U368+70))="X",INDIRECT("P"&amp;(V368+70))="X"),1,0)+IF(AND(INDIRECT("Q"&amp;(T368+70))="X",INDIRECT("Q"&amp;(U368+70))="X",INDIRECT("Q"&amp;(V368+70))="X"),1,0)</f>
        <v>1</v>
      </c>
    </row>
    <row r="369" spans="20:23" x14ac:dyDescent="0.3">
      <c r="T369">
        <v>7</v>
      </c>
      <c r="U369">
        <v>9</v>
      </c>
      <c r="V369">
        <v>10</v>
      </c>
      <c r="W369" cm="1">
        <f t="array" aca="1" ref="W369" ca="1">IF(AND(INDIRECT("B"&amp;(T369+70))="X",INDIRECT("B"&amp;(U369+70))="X",INDIRECT("B"&amp;(V369+70))="X"),1,0)+IF(AND(INDIRECT("C"&amp;(T369+70))="X",INDIRECT("C"&amp;(U369+70))="X",INDIRECT("C"&amp;(V369+70))="X"),1,0)+IF(AND(INDIRECT("D"&amp;(T369+70))="X",INDIRECT("D"&amp;(U369+70))="X",INDIRECT("D"&amp;(V369+70))="X"),1,0)+IF(AND(INDIRECT("E"&amp;(T369+70))="X",INDIRECT("E"&amp;(U369+70))="X",INDIRECT("E"&amp;(V369+70))="X"),1,0)+IF(AND(INDIRECT("F"&amp;(T369+70))="X",INDIRECT("F"&amp;(U369+70))="X",INDIRECT("F"&amp;(V369+70))="X"),1,0)+IF(AND(INDIRECT("G"&amp;(T369+70))="X",INDIRECT("G"&amp;(U369+70))="X",INDIRECT("G"&amp;(V369+70))="X"),1,0)+IF(AND(INDIRECT("H"&amp;(T369+70))="X",INDIRECT("H"&amp;(U369+70))="X",INDIRECT("H"&amp;(V369+70))="X"),1,0)+IF(AND(INDIRECT("I"&amp;(T369+70))="X",INDIRECT("I"&amp;(U369+70))="X",INDIRECT("I"&amp;(V369+70))="X"),1,0)+IF(AND(INDIRECT("J"&amp;(T369+70))="X",INDIRECT("J"&amp;(U369+70))="X",INDIRECT("J"&amp;(V369+70))="X"),1,0)+IF(AND(INDIRECT("K"&amp;(T369+70))="X",INDIRECT("K"&amp;(U369+70))="X",INDIRECT("K"&amp;(V369+70))="X"),1,0)+IF(AND(INDIRECT("L"&amp;(T369+70))="X",INDIRECT("L"&amp;(U369+70))="X",INDIRECT("L"&amp;(V369+70))="X"),1,0)+IF(AND(INDIRECT("M"&amp;(T369+70))="X",INDIRECT("M"&amp;(U369+70))="X",INDIRECT("M"&amp;(V369+70))="X"),1,0)+IF(AND(INDIRECT("N"&amp;(T369+70))="X",INDIRECT("N"&amp;(U369+70))="X",INDIRECT("N"&amp;(V369+70))="X"),1,0)+IF(AND(INDIRECT("O"&amp;(T369+70))="X",INDIRECT("O"&amp;(U369+70))="X",INDIRECT("O"&amp;(V369+70))="X"),1,0)+IF(AND(INDIRECT("P"&amp;(T369+70))="X",INDIRECT("P"&amp;(U369+70))="X",INDIRECT("P"&amp;(V369+70))="X"),1,0)+IF(AND(INDIRECT("Q"&amp;(T369+70))="X",INDIRECT("Q"&amp;(U369+70))="X",INDIRECT("Q"&amp;(V369+70))="X"),1,0)</f>
        <v>1</v>
      </c>
    </row>
    <row r="370" spans="20:23" x14ac:dyDescent="0.3">
      <c r="T370">
        <v>7</v>
      </c>
      <c r="U370">
        <v>9</v>
      </c>
      <c r="V370">
        <v>11</v>
      </c>
      <c r="W370" cm="1">
        <f t="array" aca="1" ref="W370" ca="1">IF(AND(INDIRECT("B"&amp;(T370+70))="X",INDIRECT("B"&amp;(U370+70))="X",INDIRECT("B"&amp;(V370+70))="X"),1,0)+IF(AND(INDIRECT("C"&amp;(T370+70))="X",INDIRECT("C"&amp;(U370+70))="X",INDIRECT("C"&amp;(V370+70))="X"),1,0)+IF(AND(INDIRECT("D"&amp;(T370+70))="X",INDIRECT("D"&amp;(U370+70))="X",INDIRECT("D"&amp;(V370+70))="X"),1,0)+IF(AND(INDIRECT("E"&amp;(T370+70))="X",INDIRECT("E"&amp;(U370+70))="X",INDIRECT("E"&amp;(V370+70))="X"),1,0)+IF(AND(INDIRECT("F"&amp;(T370+70))="X",INDIRECT("F"&amp;(U370+70))="X",INDIRECT("F"&amp;(V370+70))="X"),1,0)+IF(AND(INDIRECT("G"&amp;(T370+70))="X",INDIRECT("G"&amp;(U370+70))="X",INDIRECT("G"&amp;(V370+70))="X"),1,0)+IF(AND(INDIRECT("H"&amp;(T370+70))="X",INDIRECT("H"&amp;(U370+70))="X",INDIRECT("H"&amp;(V370+70))="X"),1,0)+IF(AND(INDIRECT("I"&amp;(T370+70))="X",INDIRECT("I"&amp;(U370+70))="X",INDIRECT("I"&amp;(V370+70))="X"),1,0)+IF(AND(INDIRECT("J"&amp;(T370+70))="X",INDIRECT("J"&amp;(U370+70))="X",INDIRECT("J"&amp;(V370+70))="X"),1,0)+IF(AND(INDIRECT("K"&amp;(T370+70))="X",INDIRECT("K"&amp;(U370+70))="X",INDIRECT("K"&amp;(V370+70))="X"),1,0)+IF(AND(INDIRECT("L"&amp;(T370+70))="X",INDIRECT("L"&amp;(U370+70))="X",INDIRECT("L"&amp;(V370+70))="X"),1,0)+IF(AND(INDIRECT("M"&amp;(T370+70))="X",INDIRECT("M"&amp;(U370+70))="X",INDIRECT("M"&amp;(V370+70))="X"),1,0)+IF(AND(INDIRECT("N"&amp;(T370+70))="X",INDIRECT("N"&amp;(U370+70))="X",INDIRECT("N"&amp;(V370+70))="X"),1,0)+IF(AND(INDIRECT("O"&amp;(T370+70))="X",INDIRECT("O"&amp;(U370+70))="X",INDIRECT("O"&amp;(V370+70))="X"),1,0)+IF(AND(INDIRECT("P"&amp;(T370+70))="X",INDIRECT("P"&amp;(U370+70))="X",INDIRECT("P"&amp;(V370+70))="X"),1,0)+IF(AND(INDIRECT("Q"&amp;(T370+70))="X",INDIRECT("Q"&amp;(U370+70))="X",INDIRECT("Q"&amp;(V370+70))="X"),1,0)</f>
        <v>1</v>
      </c>
    </row>
    <row r="371" spans="20:23" x14ac:dyDescent="0.3">
      <c r="T371">
        <v>7</v>
      </c>
      <c r="U371">
        <v>9</v>
      </c>
      <c r="V371">
        <v>12</v>
      </c>
      <c r="W371" cm="1">
        <f t="array" aca="1" ref="W371" ca="1">IF(AND(INDIRECT("B"&amp;(T371+70))="X",INDIRECT("B"&amp;(U371+70))="X",INDIRECT("B"&amp;(V371+70))="X"),1,0)+IF(AND(INDIRECT("C"&amp;(T371+70))="X",INDIRECT("C"&amp;(U371+70))="X",INDIRECT("C"&amp;(V371+70))="X"),1,0)+IF(AND(INDIRECT("D"&amp;(T371+70))="X",INDIRECT("D"&amp;(U371+70))="X",INDIRECT("D"&amp;(V371+70))="X"),1,0)+IF(AND(INDIRECT("E"&amp;(T371+70))="X",INDIRECT("E"&amp;(U371+70))="X",INDIRECT("E"&amp;(V371+70))="X"),1,0)+IF(AND(INDIRECT("F"&amp;(T371+70))="X",INDIRECT("F"&amp;(U371+70))="X",INDIRECT("F"&amp;(V371+70))="X"),1,0)+IF(AND(INDIRECT("G"&amp;(T371+70))="X",INDIRECT("G"&amp;(U371+70))="X",INDIRECT("G"&amp;(V371+70))="X"),1,0)+IF(AND(INDIRECT("H"&amp;(T371+70))="X",INDIRECT("H"&amp;(U371+70))="X",INDIRECT("H"&amp;(V371+70))="X"),1,0)+IF(AND(INDIRECT("I"&amp;(T371+70))="X",INDIRECT("I"&amp;(U371+70))="X",INDIRECT("I"&amp;(V371+70))="X"),1,0)+IF(AND(INDIRECT("J"&amp;(T371+70))="X",INDIRECT("J"&amp;(U371+70))="X",INDIRECT("J"&amp;(V371+70))="X"),1,0)+IF(AND(INDIRECT("K"&amp;(T371+70))="X",INDIRECT("K"&amp;(U371+70))="X",INDIRECT("K"&amp;(V371+70))="X"),1,0)+IF(AND(INDIRECT("L"&amp;(T371+70))="X",INDIRECT("L"&amp;(U371+70))="X",INDIRECT("L"&amp;(V371+70))="X"),1,0)+IF(AND(INDIRECT("M"&amp;(T371+70))="X",INDIRECT("M"&amp;(U371+70))="X",INDIRECT("M"&amp;(V371+70))="X"),1,0)+IF(AND(INDIRECT("N"&amp;(T371+70))="X",INDIRECT("N"&amp;(U371+70))="X",INDIRECT("N"&amp;(V371+70))="X"),1,0)+IF(AND(INDIRECT("O"&amp;(T371+70))="X",INDIRECT("O"&amp;(U371+70))="X",INDIRECT("O"&amp;(V371+70))="X"),1,0)+IF(AND(INDIRECT("P"&amp;(T371+70))="X",INDIRECT("P"&amp;(U371+70))="X",INDIRECT("P"&amp;(V371+70))="X"),1,0)+IF(AND(INDIRECT("Q"&amp;(T371+70))="X",INDIRECT("Q"&amp;(U371+70))="X",INDIRECT("Q"&amp;(V371+70))="X"),1,0)</f>
        <v>1</v>
      </c>
    </row>
    <row r="372" spans="20:23" x14ac:dyDescent="0.3">
      <c r="T372">
        <v>7</v>
      </c>
      <c r="U372">
        <v>9</v>
      </c>
      <c r="V372">
        <v>13</v>
      </c>
      <c r="W372" cm="1">
        <f t="array" aca="1" ref="W372" ca="1">IF(AND(INDIRECT("B"&amp;(T372+70))="X",INDIRECT("B"&amp;(U372+70))="X",INDIRECT("B"&amp;(V372+70))="X"),1,0)+IF(AND(INDIRECT("C"&amp;(T372+70))="X",INDIRECT("C"&amp;(U372+70))="X",INDIRECT("C"&amp;(V372+70))="X"),1,0)+IF(AND(INDIRECT("D"&amp;(T372+70))="X",INDIRECT("D"&amp;(U372+70))="X",INDIRECT("D"&amp;(V372+70))="X"),1,0)+IF(AND(INDIRECT("E"&amp;(T372+70))="X",INDIRECT("E"&amp;(U372+70))="X",INDIRECT("E"&amp;(V372+70))="X"),1,0)+IF(AND(INDIRECT("F"&amp;(T372+70))="X",INDIRECT("F"&amp;(U372+70))="X",INDIRECT("F"&amp;(V372+70))="X"),1,0)+IF(AND(INDIRECT("G"&amp;(T372+70))="X",INDIRECT("G"&amp;(U372+70))="X",INDIRECT("G"&amp;(V372+70))="X"),1,0)+IF(AND(INDIRECT("H"&amp;(T372+70))="X",INDIRECT("H"&amp;(U372+70))="X",INDIRECT("H"&amp;(V372+70))="X"),1,0)+IF(AND(INDIRECT("I"&amp;(T372+70))="X",INDIRECT("I"&amp;(U372+70))="X",INDIRECT("I"&amp;(V372+70))="X"),1,0)+IF(AND(INDIRECT("J"&amp;(T372+70))="X",INDIRECT("J"&amp;(U372+70))="X",INDIRECT("J"&amp;(V372+70))="X"),1,0)+IF(AND(INDIRECT("K"&amp;(T372+70))="X",INDIRECT("K"&amp;(U372+70))="X",INDIRECT("K"&amp;(V372+70))="X"),1,0)+IF(AND(INDIRECT("L"&amp;(T372+70))="X",INDIRECT("L"&amp;(U372+70))="X",INDIRECT("L"&amp;(V372+70))="X"),1,0)+IF(AND(INDIRECT("M"&amp;(T372+70))="X",INDIRECT("M"&amp;(U372+70))="X",INDIRECT("M"&amp;(V372+70))="X"),1,0)+IF(AND(INDIRECT("N"&amp;(T372+70))="X",INDIRECT("N"&amp;(U372+70))="X",INDIRECT("N"&amp;(V372+70))="X"),1,0)+IF(AND(INDIRECT("O"&amp;(T372+70))="X",INDIRECT("O"&amp;(U372+70))="X",INDIRECT("O"&amp;(V372+70))="X"),1,0)+IF(AND(INDIRECT("P"&amp;(T372+70))="X",INDIRECT("P"&amp;(U372+70))="X",INDIRECT("P"&amp;(V372+70))="X"),1,0)+IF(AND(INDIRECT("Q"&amp;(T372+70))="X",INDIRECT("Q"&amp;(U372+70))="X",INDIRECT("Q"&amp;(V372+70))="X"),1,0)</f>
        <v>2</v>
      </c>
    </row>
    <row r="373" spans="20:23" x14ac:dyDescent="0.3">
      <c r="T373">
        <v>7</v>
      </c>
      <c r="U373">
        <v>9</v>
      </c>
      <c r="V373">
        <v>14</v>
      </c>
      <c r="W373" cm="1">
        <f t="array" aca="1" ref="W373" ca="1">IF(AND(INDIRECT("B"&amp;(T373+70))="X",INDIRECT("B"&amp;(U373+70))="X",INDIRECT("B"&amp;(V373+70))="X"),1,0)+IF(AND(INDIRECT("C"&amp;(T373+70))="X",INDIRECT("C"&amp;(U373+70))="X",INDIRECT("C"&amp;(V373+70))="X"),1,0)+IF(AND(INDIRECT("D"&amp;(T373+70))="X",INDIRECT("D"&amp;(U373+70))="X",INDIRECT("D"&amp;(V373+70))="X"),1,0)+IF(AND(INDIRECT("E"&amp;(T373+70))="X",INDIRECT("E"&amp;(U373+70))="X",INDIRECT("E"&amp;(V373+70))="X"),1,0)+IF(AND(INDIRECT("F"&amp;(T373+70))="X",INDIRECT("F"&amp;(U373+70))="X",INDIRECT("F"&amp;(V373+70))="X"),1,0)+IF(AND(INDIRECT("G"&amp;(T373+70))="X",INDIRECT("G"&amp;(U373+70))="X",INDIRECT("G"&amp;(V373+70))="X"),1,0)+IF(AND(INDIRECT("H"&amp;(T373+70))="X",INDIRECT("H"&amp;(U373+70))="X",INDIRECT("H"&amp;(V373+70))="X"),1,0)+IF(AND(INDIRECT("I"&amp;(T373+70))="X",INDIRECT("I"&amp;(U373+70))="X",INDIRECT("I"&amp;(V373+70))="X"),1,0)+IF(AND(INDIRECT("J"&amp;(T373+70))="X",INDIRECT("J"&amp;(U373+70))="X",INDIRECT("J"&amp;(V373+70))="X"),1,0)+IF(AND(INDIRECT("K"&amp;(T373+70))="X",INDIRECT("K"&amp;(U373+70))="X",INDIRECT("K"&amp;(V373+70))="X"),1,0)+IF(AND(INDIRECT("L"&amp;(T373+70))="X",INDIRECT("L"&amp;(U373+70))="X",INDIRECT("L"&amp;(V373+70))="X"),1,0)+IF(AND(INDIRECT("M"&amp;(T373+70))="X",INDIRECT("M"&amp;(U373+70))="X",INDIRECT("M"&amp;(V373+70))="X"),1,0)+IF(AND(INDIRECT("N"&amp;(T373+70))="X",INDIRECT("N"&amp;(U373+70))="X",INDIRECT("N"&amp;(V373+70))="X"),1,0)+IF(AND(INDIRECT("O"&amp;(T373+70))="X",INDIRECT("O"&amp;(U373+70))="X",INDIRECT("O"&amp;(V373+70))="X"),1,0)+IF(AND(INDIRECT("P"&amp;(T373+70))="X",INDIRECT("P"&amp;(U373+70))="X",INDIRECT("P"&amp;(V373+70))="X"),1,0)+IF(AND(INDIRECT("Q"&amp;(T373+70))="X",INDIRECT("Q"&amp;(U373+70))="X",INDIRECT("Q"&amp;(V373+70))="X"),1,0)</f>
        <v>0</v>
      </c>
    </row>
    <row r="374" spans="20:23" x14ac:dyDescent="0.3">
      <c r="T374">
        <v>7</v>
      </c>
      <c r="U374">
        <v>10</v>
      </c>
      <c r="V374">
        <v>11</v>
      </c>
      <c r="W374" cm="1">
        <f t="array" aca="1" ref="W374" ca="1">IF(AND(INDIRECT("B"&amp;(T374+70))="X",INDIRECT("B"&amp;(U374+70))="X",INDIRECT("B"&amp;(V374+70))="X"),1,0)+IF(AND(INDIRECT("C"&amp;(T374+70))="X",INDIRECT("C"&amp;(U374+70))="X",INDIRECT("C"&amp;(V374+70))="X"),1,0)+IF(AND(INDIRECT("D"&amp;(T374+70))="X",INDIRECT("D"&amp;(U374+70))="X",INDIRECT("D"&amp;(V374+70))="X"),1,0)+IF(AND(INDIRECT("E"&amp;(T374+70))="X",INDIRECT("E"&amp;(U374+70))="X",INDIRECT("E"&amp;(V374+70))="X"),1,0)+IF(AND(INDIRECT("F"&amp;(T374+70))="X",INDIRECT("F"&amp;(U374+70))="X",INDIRECT("F"&amp;(V374+70))="X"),1,0)+IF(AND(INDIRECT("G"&amp;(T374+70))="X",INDIRECT("G"&amp;(U374+70))="X",INDIRECT("G"&amp;(V374+70))="X"),1,0)+IF(AND(INDIRECT("H"&amp;(T374+70))="X",INDIRECT("H"&amp;(U374+70))="X",INDIRECT("H"&amp;(V374+70))="X"),1,0)+IF(AND(INDIRECT("I"&amp;(T374+70))="X",INDIRECT("I"&amp;(U374+70))="X",INDIRECT("I"&amp;(V374+70))="X"),1,0)+IF(AND(INDIRECT("J"&amp;(T374+70))="X",INDIRECT("J"&amp;(U374+70))="X",INDIRECT("J"&amp;(V374+70))="X"),1,0)+IF(AND(INDIRECT("K"&amp;(T374+70))="X",INDIRECT("K"&amp;(U374+70))="X",INDIRECT("K"&amp;(V374+70))="X"),1,0)+IF(AND(INDIRECT("L"&amp;(T374+70))="X",INDIRECT("L"&amp;(U374+70))="X",INDIRECT("L"&amp;(V374+70))="X"),1,0)+IF(AND(INDIRECT("M"&amp;(T374+70))="X",INDIRECT("M"&amp;(U374+70))="X",INDIRECT("M"&amp;(V374+70))="X"),1,0)+IF(AND(INDIRECT("N"&amp;(T374+70))="X",INDIRECT("N"&amp;(U374+70))="X",INDIRECT("N"&amp;(V374+70))="X"),1,0)+IF(AND(INDIRECT("O"&amp;(T374+70))="X",INDIRECT("O"&amp;(U374+70))="X",INDIRECT("O"&amp;(V374+70))="X"),1,0)+IF(AND(INDIRECT("P"&amp;(T374+70))="X",INDIRECT("P"&amp;(U374+70))="X",INDIRECT("P"&amp;(V374+70))="X"),1,0)+IF(AND(INDIRECT("Q"&amp;(T374+70))="X",INDIRECT("Q"&amp;(U374+70))="X",INDIRECT("Q"&amp;(V374+70))="X"),1,0)</f>
        <v>0</v>
      </c>
    </row>
    <row r="375" spans="20:23" x14ac:dyDescent="0.3">
      <c r="T375">
        <v>7</v>
      </c>
      <c r="U375">
        <v>10</v>
      </c>
      <c r="V375">
        <v>12</v>
      </c>
      <c r="W375" cm="1">
        <f t="array" aca="1" ref="W375" ca="1">IF(AND(INDIRECT("B"&amp;(T375+70))="X",INDIRECT("B"&amp;(U375+70))="X",INDIRECT("B"&amp;(V375+70))="X"),1,0)+IF(AND(INDIRECT("C"&amp;(T375+70))="X",INDIRECT("C"&amp;(U375+70))="X",INDIRECT("C"&amp;(V375+70))="X"),1,0)+IF(AND(INDIRECT("D"&amp;(T375+70))="X",INDIRECT("D"&amp;(U375+70))="X",INDIRECT("D"&amp;(V375+70))="X"),1,0)+IF(AND(INDIRECT("E"&amp;(T375+70))="X",INDIRECT("E"&amp;(U375+70))="X",INDIRECT("E"&amp;(V375+70))="X"),1,0)+IF(AND(INDIRECT("F"&amp;(T375+70))="X",INDIRECT("F"&amp;(U375+70))="X",INDIRECT("F"&amp;(V375+70))="X"),1,0)+IF(AND(INDIRECT("G"&amp;(T375+70))="X",INDIRECT("G"&amp;(U375+70))="X",INDIRECT("G"&amp;(V375+70))="X"),1,0)+IF(AND(INDIRECT("H"&amp;(T375+70))="X",INDIRECT("H"&amp;(U375+70))="X",INDIRECT("H"&amp;(V375+70))="X"),1,0)+IF(AND(INDIRECT("I"&amp;(T375+70))="X",INDIRECT("I"&amp;(U375+70))="X",INDIRECT("I"&amp;(V375+70))="X"),1,0)+IF(AND(INDIRECT("J"&amp;(T375+70))="X",INDIRECT("J"&amp;(U375+70))="X",INDIRECT("J"&amp;(V375+70))="X"),1,0)+IF(AND(INDIRECT("K"&amp;(T375+70))="X",INDIRECT("K"&amp;(U375+70))="X",INDIRECT("K"&amp;(V375+70))="X"),1,0)+IF(AND(INDIRECT("L"&amp;(T375+70))="X",INDIRECT("L"&amp;(U375+70))="X",INDIRECT("L"&amp;(V375+70))="X"),1,0)+IF(AND(INDIRECT("M"&amp;(T375+70))="X",INDIRECT("M"&amp;(U375+70))="X",INDIRECT("M"&amp;(V375+70))="X"),1,0)+IF(AND(INDIRECT("N"&amp;(T375+70))="X",INDIRECT("N"&amp;(U375+70))="X",INDIRECT("N"&amp;(V375+70))="X"),1,0)+IF(AND(INDIRECT("O"&amp;(T375+70))="X",INDIRECT("O"&amp;(U375+70))="X",INDIRECT("O"&amp;(V375+70))="X"),1,0)+IF(AND(INDIRECT("P"&amp;(T375+70))="X",INDIRECT("P"&amp;(U375+70))="X",INDIRECT("P"&amp;(V375+70))="X"),1,0)+IF(AND(INDIRECT("Q"&amp;(T375+70))="X",INDIRECT("Q"&amp;(U375+70))="X",INDIRECT("Q"&amp;(V375+70))="X"),1,0)</f>
        <v>0</v>
      </c>
    </row>
    <row r="376" spans="20:23" x14ac:dyDescent="0.3">
      <c r="T376">
        <v>7</v>
      </c>
      <c r="U376">
        <v>10</v>
      </c>
      <c r="V376">
        <v>13</v>
      </c>
      <c r="W376" cm="1">
        <f t="array" aca="1" ref="W376" ca="1">IF(AND(INDIRECT("B"&amp;(T376+70))="X",INDIRECT("B"&amp;(U376+70))="X",INDIRECT("B"&amp;(V376+70))="X"),1,0)+IF(AND(INDIRECT("C"&amp;(T376+70))="X",INDIRECT("C"&amp;(U376+70))="X",INDIRECT("C"&amp;(V376+70))="X"),1,0)+IF(AND(INDIRECT("D"&amp;(T376+70))="X",INDIRECT("D"&amp;(U376+70))="X",INDIRECT("D"&amp;(V376+70))="X"),1,0)+IF(AND(INDIRECT("E"&amp;(T376+70))="X",INDIRECT("E"&amp;(U376+70))="X",INDIRECT("E"&amp;(V376+70))="X"),1,0)+IF(AND(INDIRECT("F"&amp;(T376+70))="X",INDIRECT("F"&amp;(U376+70))="X",INDIRECT("F"&amp;(V376+70))="X"),1,0)+IF(AND(INDIRECT("G"&amp;(T376+70))="X",INDIRECT("G"&amp;(U376+70))="X",INDIRECT("G"&amp;(V376+70))="X"),1,0)+IF(AND(INDIRECT("H"&amp;(T376+70))="X",INDIRECT("H"&amp;(U376+70))="X",INDIRECT("H"&amp;(V376+70))="X"),1,0)+IF(AND(INDIRECT("I"&amp;(T376+70))="X",INDIRECT("I"&amp;(U376+70))="X",INDIRECT("I"&amp;(V376+70))="X"),1,0)+IF(AND(INDIRECT("J"&amp;(T376+70))="X",INDIRECT("J"&amp;(U376+70))="X",INDIRECT("J"&amp;(V376+70))="X"),1,0)+IF(AND(INDIRECT("K"&amp;(T376+70))="X",INDIRECT("K"&amp;(U376+70))="X",INDIRECT("K"&amp;(V376+70))="X"),1,0)+IF(AND(INDIRECT("L"&amp;(T376+70))="X",INDIRECT("L"&amp;(U376+70))="X",INDIRECT("L"&amp;(V376+70))="X"),1,0)+IF(AND(INDIRECT("M"&amp;(T376+70))="X",INDIRECT("M"&amp;(U376+70))="X",INDIRECT("M"&amp;(V376+70))="X"),1,0)+IF(AND(INDIRECT("N"&amp;(T376+70))="X",INDIRECT("N"&amp;(U376+70))="X",INDIRECT("N"&amp;(V376+70))="X"),1,0)+IF(AND(INDIRECT("O"&amp;(T376+70))="X",INDIRECT("O"&amp;(U376+70))="X",INDIRECT("O"&amp;(V376+70))="X"),1,0)+IF(AND(INDIRECT("P"&amp;(T376+70))="X",INDIRECT("P"&amp;(U376+70))="X",INDIRECT("P"&amp;(V376+70))="X"),1,0)+IF(AND(INDIRECT("Q"&amp;(T376+70))="X",INDIRECT("Q"&amp;(U376+70))="X",INDIRECT("Q"&amp;(V376+70))="X"),1,0)</f>
        <v>0</v>
      </c>
    </row>
    <row r="377" spans="20:23" x14ac:dyDescent="0.3">
      <c r="T377">
        <v>7</v>
      </c>
      <c r="U377">
        <v>10</v>
      </c>
      <c r="V377">
        <v>14</v>
      </c>
      <c r="W377" cm="1">
        <f t="array" aca="1" ref="W377" ca="1">IF(AND(INDIRECT("B"&amp;(T377+70))="X",INDIRECT("B"&amp;(U377+70))="X",INDIRECT("B"&amp;(V377+70))="X"),1,0)+IF(AND(INDIRECT("C"&amp;(T377+70))="X",INDIRECT("C"&amp;(U377+70))="X",INDIRECT("C"&amp;(V377+70))="X"),1,0)+IF(AND(INDIRECT("D"&amp;(T377+70))="X",INDIRECT("D"&amp;(U377+70))="X",INDIRECT("D"&amp;(V377+70))="X"),1,0)+IF(AND(INDIRECT("E"&amp;(T377+70))="X",INDIRECT("E"&amp;(U377+70))="X",INDIRECT("E"&amp;(V377+70))="X"),1,0)+IF(AND(INDIRECT("F"&amp;(T377+70))="X",INDIRECT("F"&amp;(U377+70))="X",INDIRECT("F"&amp;(V377+70))="X"),1,0)+IF(AND(INDIRECT("G"&amp;(T377+70))="X",INDIRECT("G"&amp;(U377+70))="X",INDIRECT("G"&amp;(V377+70))="X"),1,0)+IF(AND(INDIRECT("H"&amp;(T377+70))="X",INDIRECT("H"&amp;(U377+70))="X",INDIRECT("H"&amp;(V377+70))="X"),1,0)+IF(AND(INDIRECT("I"&amp;(T377+70))="X",INDIRECT("I"&amp;(U377+70))="X",INDIRECT("I"&amp;(V377+70))="X"),1,0)+IF(AND(INDIRECT("J"&amp;(T377+70))="X",INDIRECT("J"&amp;(U377+70))="X",INDIRECT("J"&amp;(V377+70))="X"),1,0)+IF(AND(INDIRECT("K"&amp;(T377+70))="X",INDIRECT("K"&amp;(U377+70))="X",INDIRECT("K"&amp;(V377+70))="X"),1,0)+IF(AND(INDIRECT("L"&amp;(T377+70))="X",INDIRECT("L"&amp;(U377+70))="X",INDIRECT("L"&amp;(V377+70))="X"),1,0)+IF(AND(INDIRECT("M"&amp;(T377+70))="X",INDIRECT("M"&amp;(U377+70))="X",INDIRECT("M"&amp;(V377+70))="X"),1,0)+IF(AND(INDIRECT("N"&amp;(T377+70))="X",INDIRECT("N"&amp;(U377+70))="X",INDIRECT("N"&amp;(V377+70))="X"),1,0)+IF(AND(INDIRECT("O"&amp;(T377+70))="X",INDIRECT("O"&amp;(U377+70))="X",INDIRECT("O"&amp;(V377+70))="X"),1,0)+IF(AND(INDIRECT("P"&amp;(T377+70))="X",INDIRECT("P"&amp;(U377+70))="X",INDIRECT("P"&amp;(V377+70))="X"),1,0)+IF(AND(INDIRECT("Q"&amp;(T377+70))="X",INDIRECT("Q"&amp;(U377+70))="X",INDIRECT("Q"&amp;(V377+70))="X"),1,0)</f>
        <v>0</v>
      </c>
    </row>
    <row r="378" spans="20:23" x14ac:dyDescent="0.3">
      <c r="T378">
        <v>7</v>
      </c>
      <c r="U378">
        <v>11</v>
      </c>
      <c r="V378">
        <v>12</v>
      </c>
      <c r="W378" cm="1">
        <f t="array" aca="1" ref="W378" ca="1">IF(AND(INDIRECT("B"&amp;(T378+70))="X",INDIRECT("B"&amp;(U378+70))="X",INDIRECT("B"&amp;(V378+70))="X"),1,0)+IF(AND(INDIRECT("C"&amp;(T378+70))="X",INDIRECT("C"&amp;(U378+70))="X",INDIRECT("C"&amp;(V378+70))="X"),1,0)+IF(AND(INDIRECT("D"&amp;(T378+70))="X",INDIRECT("D"&amp;(U378+70))="X",INDIRECT("D"&amp;(V378+70))="X"),1,0)+IF(AND(INDIRECT("E"&amp;(T378+70))="X",INDIRECT("E"&amp;(U378+70))="X",INDIRECT("E"&amp;(V378+70))="X"),1,0)+IF(AND(INDIRECT("F"&amp;(T378+70))="X",INDIRECT("F"&amp;(U378+70))="X",INDIRECT("F"&amp;(V378+70))="X"),1,0)+IF(AND(INDIRECT("G"&amp;(T378+70))="X",INDIRECT("G"&amp;(U378+70))="X",INDIRECT("G"&amp;(V378+70))="X"),1,0)+IF(AND(INDIRECT("H"&amp;(T378+70))="X",INDIRECT("H"&amp;(U378+70))="X",INDIRECT("H"&amp;(V378+70))="X"),1,0)+IF(AND(INDIRECT("I"&amp;(T378+70))="X",INDIRECT("I"&amp;(U378+70))="X",INDIRECT("I"&amp;(V378+70))="X"),1,0)+IF(AND(INDIRECT("J"&amp;(T378+70))="X",INDIRECT("J"&amp;(U378+70))="X",INDIRECT("J"&amp;(V378+70))="X"),1,0)+IF(AND(INDIRECT("K"&amp;(T378+70))="X",INDIRECT("K"&amp;(U378+70))="X",INDIRECT("K"&amp;(V378+70))="X"),1,0)+IF(AND(INDIRECT("L"&amp;(T378+70))="X",INDIRECT("L"&amp;(U378+70))="X",INDIRECT("L"&amp;(V378+70))="X"),1,0)+IF(AND(INDIRECT("M"&amp;(T378+70))="X",INDIRECT("M"&amp;(U378+70))="X",INDIRECT("M"&amp;(V378+70))="X"),1,0)+IF(AND(INDIRECT("N"&amp;(T378+70))="X",INDIRECT("N"&amp;(U378+70))="X",INDIRECT("N"&amp;(V378+70))="X"),1,0)+IF(AND(INDIRECT("O"&amp;(T378+70))="X",INDIRECT("O"&amp;(U378+70))="X",INDIRECT("O"&amp;(V378+70))="X"),1,0)+IF(AND(INDIRECT("P"&amp;(T378+70))="X",INDIRECT("P"&amp;(U378+70))="X",INDIRECT("P"&amp;(V378+70))="X"),1,0)+IF(AND(INDIRECT("Q"&amp;(T378+70))="X",INDIRECT("Q"&amp;(U378+70))="X",INDIRECT("Q"&amp;(V378+70))="X"),1,0)</f>
        <v>2</v>
      </c>
    </row>
    <row r="379" spans="20:23" x14ac:dyDescent="0.3">
      <c r="T379">
        <v>7</v>
      </c>
      <c r="U379">
        <v>11</v>
      </c>
      <c r="V379">
        <v>13</v>
      </c>
      <c r="W379" cm="1">
        <f t="array" aca="1" ref="W379" ca="1">IF(AND(INDIRECT("B"&amp;(T379+70))="X",INDIRECT("B"&amp;(U379+70))="X",INDIRECT("B"&amp;(V379+70))="X"),1,0)+IF(AND(INDIRECT("C"&amp;(T379+70))="X",INDIRECT("C"&amp;(U379+70))="X",INDIRECT("C"&amp;(V379+70))="X"),1,0)+IF(AND(INDIRECT("D"&amp;(T379+70))="X",INDIRECT("D"&amp;(U379+70))="X",INDIRECT("D"&amp;(V379+70))="X"),1,0)+IF(AND(INDIRECT("E"&amp;(T379+70))="X",INDIRECT("E"&amp;(U379+70))="X",INDIRECT("E"&amp;(V379+70))="X"),1,0)+IF(AND(INDIRECT("F"&amp;(T379+70))="X",INDIRECT("F"&amp;(U379+70))="X",INDIRECT("F"&amp;(V379+70))="X"),1,0)+IF(AND(INDIRECT("G"&amp;(T379+70))="X",INDIRECT("G"&amp;(U379+70))="X",INDIRECT("G"&amp;(V379+70))="X"),1,0)+IF(AND(INDIRECT("H"&amp;(T379+70))="X",INDIRECT("H"&amp;(U379+70))="X",INDIRECT("H"&amp;(V379+70))="X"),1,0)+IF(AND(INDIRECT("I"&amp;(T379+70))="X",INDIRECT("I"&amp;(U379+70))="X",INDIRECT("I"&amp;(V379+70))="X"),1,0)+IF(AND(INDIRECT("J"&amp;(T379+70))="X",INDIRECT("J"&amp;(U379+70))="X",INDIRECT("J"&amp;(V379+70))="X"),1,0)+IF(AND(INDIRECT("K"&amp;(T379+70))="X",INDIRECT("K"&amp;(U379+70))="X",INDIRECT("K"&amp;(V379+70))="X"),1,0)+IF(AND(INDIRECT("L"&amp;(T379+70))="X",INDIRECT("L"&amp;(U379+70))="X",INDIRECT("L"&amp;(V379+70))="X"),1,0)+IF(AND(INDIRECT("M"&amp;(T379+70))="X",INDIRECT("M"&amp;(U379+70))="X",INDIRECT("M"&amp;(V379+70))="X"),1,0)+IF(AND(INDIRECT("N"&amp;(T379+70))="X",INDIRECT("N"&amp;(U379+70))="X",INDIRECT("N"&amp;(V379+70))="X"),1,0)+IF(AND(INDIRECT("O"&amp;(T379+70))="X",INDIRECT("O"&amp;(U379+70))="X",INDIRECT("O"&amp;(V379+70))="X"),1,0)+IF(AND(INDIRECT("P"&amp;(T379+70))="X",INDIRECT("P"&amp;(U379+70))="X",INDIRECT("P"&amp;(V379+70))="X"),1,0)+IF(AND(INDIRECT("Q"&amp;(T379+70))="X",INDIRECT("Q"&amp;(U379+70))="X",INDIRECT("Q"&amp;(V379+70))="X"),1,0)</f>
        <v>3</v>
      </c>
    </row>
    <row r="380" spans="20:23" x14ac:dyDescent="0.3">
      <c r="T380">
        <v>7</v>
      </c>
      <c r="U380">
        <v>11</v>
      </c>
      <c r="V380">
        <v>14</v>
      </c>
      <c r="W380" cm="1">
        <f t="array" aca="1" ref="W380" ca="1">IF(AND(INDIRECT("B"&amp;(T380+70))="X",INDIRECT("B"&amp;(U380+70))="X",INDIRECT("B"&amp;(V380+70))="X"),1,0)+IF(AND(INDIRECT("C"&amp;(T380+70))="X",INDIRECT("C"&amp;(U380+70))="X",INDIRECT("C"&amp;(V380+70))="X"),1,0)+IF(AND(INDIRECT("D"&amp;(T380+70))="X",INDIRECT("D"&amp;(U380+70))="X",INDIRECT("D"&amp;(V380+70))="X"),1,0)+IF(AND(INDIRECT("E"&amp;(T380+70))="X",INDIRECT("E"&amp;(U380+70))="X",INDIRECT("E"&amp;(V380+70))="X"),1,0)+IF(AND(INDIRECT("F"&amp;(T380+70))="X",INDIRECT("F"&amp;(U380+70))="X",INDIRECT("F"&amp;(V380+70))="X"),1,0)+IF(AND(INDIRECT("G"&amp;(T380+70))="X",INDIRECT("G"&amp;(U380+70))="X",INDIRECT("G"&amp;(V380+70))="X"),1,0)+IF(AND(INDIRECT("H"&amp;(T380+70))="X",INDIRECT("H"&amp;(U380+70))="X",INDIRECT("H"&amp;(V380+70))="X"),1,0)+IF(AND(INDIRECT("I"&amp;(T380+70))="X",INDIRECT("I"&amp;(U380+70))="X",INDIRECT("I"&amp;(V380+70))="X"),1,0)+IF(AND(INDIRECT("J"&amp;(T380+70))="X",INDIRECT("J"&amp;(U380+70))="X",INDIRECT("J"&amp;(V380+70))="X"),1,0)+IF(AND(INDIRECT("K"&amp;(T380+70))="X",INDIRECT("K"&amp;(U380+70))="X",INDIRECT("K"&amp;(V380+70))="X"),1,0)+IF(AND(INDIRECT("L"&amp;(T380+70))="X",INDIRECT("L"&amp;(U380+70))="X",INDIRECT("L"&amp;(V380+70))="X"),1,0)+IF(AND(INDIRECT("M"&amp;(T380+70))="X",INDIRECT("M"&amp;(U380+70))="X",INDIRECT("M"&amp;(V380+70))="X"),1,0)+IF(AND(INDIRECT("N"&amp;(T380+70))="X",INDIRECT("N"&amp;(U380+70))="X",INDIRECT("N"&amp;(V380+70))="X"),1,0)+IF(AND(INDIRECT("O"&amp;(T380+70))="X",INDIRECT("O"&amp;(U380+70))="X",INDIRECT("O"&amp;(V380+70))="X"),1,0)+IF(AND(INDIRECT("P"&amp;(T380+70))="X",INDIRECT("P"&amp;(U380+70))="X",INDIRECT("P"&amp;(V380+70))="X"),1,0)+IF(AND(INDIRECT("Q"&amp;(T380+70))="X",INDIRECT("Q"&amp;(U380+70))="X",INDIRECT("Q"&amp;(V380+70))="X"),1,0)</f>
        <v>0</v>
      </c>
    </row>
    <row r="381" spans="20:23" x14ac:dyDescent="0.3">
      <c r="T381">
        <v>7</v>
      </c>
      <c r="U381">
        <v>12</v>
      </c>
      <c r="V381">
        <v>13</v>
      </c>
      <c r="W381" cm="1">
        <f t="array" aca="1" ref="W381" ca="1">IF(AND(INDIRECT("B"&amp;(T381+70))="X",INDIRECT("B"&amp;(U381+70))="X",INDIRECT("B"&amp;(V381+70))="X"),1,0)+IF(AND(INDIRECT("C"&amp;(T381+70))="X",INDIRECT("C"&amp;(U381+70))="X",INDIRECT("C"&amp;(V381+70))="X"),1,0)+IF(AND(INDIRECT("D"&amp;(T381+70))="X",INDIRECT("D"&amp;(U381+70))="X",INDIRECT("D"&amp;(V381+70))="X"),1,0)+IF(AND(INDIRECT("E"&amp;(T381+70))="X",INDIRECT("E"&amp;(U381+70))="X",INDIRECT("E"&amp;(V381+70))="X"),1,0)+IF(AND(INDIRECT("F"&amp;(T381+70))="X",INDIRECT("F"&amp;(U381+70))="X",INDIRECT("F"&amp;(V381+70))="X"),1,0)+IF(AND(INDIRECT("G"&amp;(T381+70))="X",INDIRECT("G"&amp;(U381+70))="X",INDIRECT("G"&amp;(V381+70))="X"),1,0)+IF(AND(INDIRECT("H"&amp;(T381+70))="X",INDIRECT("H"&amp;(U381+70))="X",INDIRECT("H"&amp;(V381+70))="X"),1,0)+IF(AND(INDIRECT("I"&amp;(T381+70))="X",INDIRECT("I"&amp;(U381+70))="X",INDIRECT("I"&amp;(V381+70))="X"),1,0)+IF(AND(INDIRECT("J"&amp;(T381+70))="X",INDIRECT("J"&amp;(U381+70))="X",INDIRECT("J"&amp;(V381+70))="X"),1,0)+IF(AND(INDIRECT("K"&amp;(T381+70))="X",INDIRECT("K"&amp;(U381+70))="X",INDIRECT("K"&amp;(V381+70))="X"),1,0)+IF(AND(INDIRECT("L"&amp;(T381+70))="X",INDIRECT("L"&amp;(U381+70))="X",INDIRECT("L"&amp;(V381+70))="X"),1,0)+IF(AND(INDIRECT("M"&amp;(T381+70))="X",INDIRECT("M"&amp;(U381+70))="X",INDIRECT("M"&amp;(V381+70))="X"),1,0)+IF(AND(INDIRECT("N"&amp;(T381+70))="X",INDIRECT("N"&amp;(U381+70))="X",INDIRECT("N"&amp;(V381+70))="X"),1,0)+IF(AND(INDIRECT("O"&amp;(T381+70))="X",INDIRECT("O"&amp;(U381+70))="X",INDIRECT("O"&amp;(V381+70))="X"),1,0)+IF(AND(INDIRECT("P"&amp;(T381+70))="X",INDIRECT("P"&amp;(U381+70))="X",INDIRECT("P"&amp;(V381+70))="X"),1,0)+IF(AND(INDIRECT("Q"&amp;(T381+70))="X",INDIRECT("Q"&amp;(U381+70))="X",INDIRECT("Q"&amp;(V381+70))="X"),1,0)</f>
        <v>2</v>
      </c>
    </row>
    <row r="382" spans="20:23" x14ac:dyDescent="0.3">
      <c r="T382">
        <v>7</v>
      </c>
      <c r="U382">
        <v>12</v>
      </c>
      <c r="V382">
        <v>14</v>
      </c>
      <c r="W382" cm="1">
        <f t="array" aca="1" ref="W382" ca="1">IF(AND(INDIRECT("B"&amp;(T382+70))="X",INDIRECT("B"&amp;(U382+70))="X",INDIRECT("B"&amp;(V382+70))="X"),1,0)+IF(AND(INDIRECT("C"&amp;(T382+70))="X",INDIRECT("C"&amp;(U382+70))="X",INDIRECT("C"&amp;(V382+70))="X"),1,0)+IF(AND(INDIRECT("D"&amp;(T382+70))="X",INDIRECT("D"&amp;(U382+70))="X",INDIRECT("D"&amp;(V382+70))="X"),1,0)+IF(AND(INDIRECT("E"&amp;(T382+70))="X",INDIRECT("E"&amp;(U382+70))="X",INDIRECT("E"&amp;(V382+70))="X"),1,0)+IF(AND(INDIRECT("F"&amp;(T382+70))="X",INDIRECT("F"&amp;(U382+70))="X",INDIRECT("F"&amp;(V382+70))="X"),1,0)+IF(AND(INDIRECT("G"&amp;(T382+70))="X",INDIRECT("G"&amp;(U382+70))="X",INDIRECT("G"&amp;(V382+70))="X"),1,0)+IF(AND(INDIRECT("H"&amp;(T382+70))="X",INDIRECT("H"&amp;(U382+70))="X",INDIRECT("H"&amp;(V382+70))="X"),1,0)+IF(AND(INDIRECT("I"&amp;(T382+70))="X",INDIRECT("I"&amp;(U382+70))="X",INDIRECT("I"&amp;(V382+70))="X"),1,0)+IF(AND(INDIRECT("J"&amp;(T382+70))="X",INDIRECT("J"&amp;(U382+70))="X",INDIRECT("J"&amp;(V382+70))="X"),1,0)+IF(AND(INDIRECT("K"&amp;(T382+70))="X",INDIRECT("K"&amp;(U382+70))="X",INDIRECT("K"&amp;(V382+70))="X"),1,0)+IF(AND(INDIRECT("L"&amp;(T382+70))="X",INDIRECT("L"&amp;(U382+70))="X",INDIRECT("L"&amp;(V382+70))="X"),1,0)+IF(AND(INDIRECT("M"&amp;(T382+70))="X",INDIRECT("M"&amp;(U382+70))="X",INDIRECT("M"&amp;(V382+70))="X"),1,0)+IF(AND(INDIRECT("N"&amp;(T382+70))="X",INDIRECT("N"&amp;(U382+70))="X",INDIRECT("N"&amp;(V382+70))="X"),1,0)+IF(AND(INDIRECT("O"&amp;(T382+70))="X",INDIRECT("O"&amp;(U382+70))="X",INDIRECT("O"&amp;(V382+70))="X"),1,0)+IF(AND(INDIRECT("P"&amp;(T382+70))="X",INDIRECT("P"&amp;(U382+70))="X",INDIRECT("P"&amp;(V382+70))="X"),1,0)+IF(AND(INDIRECT("Q"&amp;(T382+70))="X",INDIRECT("Q"&amp;(U382+70))="X",INDIRECT("Q"&amp;(V382+70))="X"),1,0)</f>
        <v>1</v>
      </c>
    </row>
    <row r="383" spans="20:23" x14ac:dyDescent="0.3">
      <c r="T383">
        <v>7</v>
      </c>
      <c r="U383">
        <v>13</v>
      </c>
      <c r="V383">
        <v>14</v>
      </c>
      <c r="W383" cm="1">
        <f t="array" aca="1" ref="W383" ca="1">IF(AND(INDIRECT("B"&amp;(T383+70))="X",INDIRECT("B"&amp;(U383+70))="X",INDIRECT("B"&amp;(V383+70))="X"),1,0)+IF(AND(INDIRECT("C"&amp;(T383+70))="X",INDIRECT("C"&amp;(U383+70))="X",INDIRECT("C"&amp;(V383+70))="X"),1,0)+IF(AND(INDIRECT("D"&amp;(T383+70))="X",INDIRECT("D"&amp;(U383+70))="X",INDIRECT("D"&amp;(V383+70))="X"),1,0)+IF(AND(INDIRECT("E"&amp;(T383+70))="X",INDIRECT("E"&amp;(U383+70))="X",INDIRECT("E"&amp;(V383+70))="X"),1,0)+IF(AND(INDIRECT("F"&amp;(T383+70))="X",INDIRECT("F"&amp;(U383+70))="X",INDIRECT("F"&amp;(V383+70))="X"),1,0)+IF(AND(INDIRECT("G"&amp;(T383+70))="X",INDIRECT("G"&amp;(U383+70))="X",INDIRECT("G"&amp;(V383+70))="X"),1,0)+IF(AND(INDIRECT("H"&amp;(T383+70))="X",INDIRECT("H"&amp;(U383+70))="X",INDIRECT("H"&amp;(V383+70))="X"),1,0)+IF(AND(INDIRECT("I"&amp;(T383+70))="X",INDIRECT("I"&amp;(U383+70))="X",INDIRECT("I"&amp;(V383+70))="X"),1,0)+IF(AND(INDIRECT("J"&amp;(T383+70))="X",INDIRECT("J"&amp;(U383+70))="X",INDIRECT("J"&amp;(V383+70))="X"),1,0)+IF(AND(INDIRECT("K"&amp;(T383+70))="X",INDIRECT("K"&amp;(U383+70))="X",INDIRECT("K"&amp;(V383+70))="X"),1,0)+IF(AND(INDIRECT("L"&amp;(T383+70))="X",INDIRECT("L"&amp;(U383+70))="X",INDIRECT("L"&amp;(V383+70))="X"),1,0)+IF(AND(INDIRECT("M"&amp;(T383+70))="X",INDIRECT("M"&amp;(U383+70))="X",INDIRECT("M"&amp;(V383+70))="X"),1,0)+IF(AND(INDIRECT("N"&amp;(T383+70))="X",INDIRECT("N"&amp;(U383+70))="X",INDIRECT("N"&amp;(V383+70))="X"),1,0)+IF(AND(INDIRECT("O"&amp;(T383+70))="X",INDIRECT("O"&amp;(U383+70))="X",INDIRECT("O"&amp;(V383+70))="X"),1,0)+IF(AND(INDIRECT("P"&amp;(T383+70))="X",INDIRECT("P"&amp;(U383+70))="X",INDIRECT("P"&amp;(V383+70))="X"),1,0)+IF(AND(INDIRECT("Q"&amp;(T383+70))="X",INDIRECT("Q"&amp;(U383+70))="X",INDIRECT("Q"&amp;(V383+70))="X"),1,0)</f>
        <v>0</v>
      </c>
    </row>
    <row r="384" spans="20:23" x14ac:dyDescent="0.3">
      <c r="T384">
        <v>8</v>
      </c>
      <c r="U384">
        <v>9</v>
      </c>
      <c r="V384">
        <v>10</v>
      </c>
      <c r="W384" cm="1">
        <f t="array" aca="1" ref="W384" ca="1">IF(AND(INDIRECT("B"&amp;(T384+70))="X",INDIRECT("B"&amp;(U384+70))="X",INDIRECT("B"&amp;(V384+70))="X"),1,0)+IF(AND(INDIRECT("C"&amp;(T384+70))="X",INDIRECT("C"&amp;(U384+70))="X",INDIRECT("C"&amp;(V384+70))="X"),1,0)+IF(AND(INDIRECT("D"&amp;(T384+70))="X",INDIRECT("D"&amp;(U384+70))="X",INDIRECT("D"&amp;(V384+70))="X"),1,0)+IF(AND(INDIRECT("E"&amp;(T384+70))="X",INDIRECT("E"&amp;(U384+70))="X",INDIRECT("E"&amp;(V384+70))="X"),1,0)+IF(AND(INDIRECT("F"&amp;(T384+70))="X",INDIRECT("F"&amp;(U384+70))="X",INDIRECT("F"&amp;(V384+70))="X"),1,0)+IF(AND(INDIRECT("G"&amp;(T384+70))="X",INDIRECT("G"&amp;(U384+70))="X",INDIRECT("G"&amp;(V384+70))="X"),1,0)+IF(AND(INDIRECT("H"&amp;(T384+70))="X",INDIRECT("H"&amp;(U384+70))="X",INDIRECT("H"&amp;(V384+70))="X"),1,0)+IF(AND(INDIRECT("I"&amp;(T384+70))="X",INDIRECT("I"&amp;(U384+70))="X",INDIRECT("I"&amp;(V384+70))="X"),1,0)+IF(AND(INDIRECT("J"&amp;(T384+70))="X",INDIRECT("J"&amp;(U384+70))="X",INDIRECT("J"&amp;(V384+70))="X"),1,0)+IF(AND(INDIRECT("K"&amp;(T384+70))="X",INDIRECT("K"&amp;(U384+70))="X",INDIRECT("K"&amp;(V384+70))="X"),1,0)+IF(AND(INDIRECT("L"&amp;(T384+70))="X",INDIRECT("L"&amp;(U384+70))="X",INDIRECT("L"&amp;(V384+70))="X"),1,0)+IF(AND(INDIRECT("M"&amp;(T384+70))="X",INDIRECT("M"&amp;(U384+70))="X",INDIRECT("M"&amp;(V384+70))="X"),1,0)+IF(AND(INDIRECT("N"&amp;(T384+70))="X",INDIRECT("N"&amp;(U384+70))="X",INDIRECT("N"&amp;(V384+70))="X"),1,0)+IF(AND(INDIRECT("O"&amp;(T384+70))="X",INDIRECT("O"&amp;(U384+70))="X",INDIRECT("O"&amp;(V384+70))="X"),1,0)+IF(AND(INDIRECT("P"&amp;(T384+70))="X",INDIRECT("P"&amp;(U384+70))="X",INDIRECT("P"&amp;(V384+70))="X"),1,0)+IF(AND(INDIRECT("Q"&amp;(T384+70))="X",INDIRECT("Q"&amp;(U384+70))="X",INDIRECT("Q"&amp;(V384+70))="X"),1,0)</f>
        <v>2</v>
      </c>
    </row>
    <row r="385" spans="20:23" x14ac:dyDescent="0.3">
      <c r="T385">
        <v>8</v>
      </c>
      <c r="U385">
        <v>9</v>
      </c>
      <c r="V385">
        <v>11</v>
      </c>
      <c r="W385" cm="1">
        <f t="array" aca="1" ref="W385" ca="1">IF(AND(INDIRECT("B"&amp;(T385+70))="X",INDIRECT("B"&amp;(U385+70))="X",INDIRECT("B"&amp;(V385+70))="X"),1,0)+IF(AND(INDIRECT("C"&amp;(T385+70))="X",INDIRECT("C"&amp;(U385+70))="X",INDIRECT("C"&amp;(V385+70))="X"),1,0)+IF(AND(INDIRECT("D"&amp;(T385+70))="X",INDIRECT("D"&amp;(U385+70))="X",INDIRECT("D"&amp;(V385+70))="X"),1,0)+IF(AND(INDIRECT("E"&amp;(T385+70))="X",INDIRECT("E"&amp;(U385+70))="X",INDIRECT("E"&amp;(V385+70))="X"),1,0)+IF(AND(INDIRECT("F"&amp;(T385+70))="X",INDIRECT("F"&amp;(U385+70))="X",INDIRECT("F"&amp;(V385+70))="X"),1,0)+IF(AND(INDIRECT("G"&amp;(T385+70))="X",INDIRECT("G"&amp;(U385+70))="X",INDIRECT("G"&amp;(V385+70))="X"),1,0)+IF(AND(INDIRECT("H"&amp;(T385+70))="X",INDIRECT("H"&amp;(U385+70))="X",INDIRECT("H"&amp;(V385+70))="X"),1,0)+IF(AND(INDIRECT("I"&amp;(T385+70))="X",INDIRECT("I"&amp;(U385+70))="X",INDIRECT("I"&amp;(V385+70))="X"),1,0)+IF(AND(INDIRECT("J"&amp;(T385+70))="X",INDIRECT("J"&amp;(U385+70))="X",INDIRECT("J"&amp;(V385+70))="X"),1,0)+IF(AND(INDIRECT("K"&amp;(T385+70))="X",INDIRECT("K"&amp;(U385+70))="X",INDIRECT("K"&amp;(V385+70))="X"),1,0)+IF(AND(INDIRECT("L"&amp;(T385+70))="X",INDIRECT("L"&amp;(U385+70))="X",INDIRECT("L"&amp;(V385+70))="X"),1,0)+IF(AND(INDIRECT("M"&amp;(T385+70))="X",INDIRECT("M"&amp;(U385+70))="X",INDIRECT("M"&amp;(V385+70))="X"),1,0)+IF(AND(INDIRECT("N"&amp;(T385+70))="X",INDIRECT("N"&amp;(U385+70))="X",INDIRECT("N"&amp;(V385+70))="X"),1,0)+IF(AND(INDIRECT("O"&amp;(T385+70))="X",INDIRECT("O"&amp;(U385+70))="X",INDIRECT("O"&amp;(V385+70))="X"),1,0)+IF(AND(INDIRECT("P"&amp;(T385+70))="X",INDIRECT("P"&amp;(U385+70))="X",INDIRECT("P"&amp;(V385+70))="X"),1,0)+IF(AND(INDIRECT("Q"&amp;(T385+70))="X",INDIRECT("Q"&amp;(U385+70))="X",INDIRECT("Q"&amp;(V385+70))="X"),1,0)</f>
        <v>0</v>
      </c>
    </row>
    <row r="386" spans="20:23" x14ac:dyDescent="0.3">
      <c r="T386">
        <v>8</v>
      </c>
      <c r="U386">
        <v>9</v>
      </c>
      <c r="V386">
        <v>12</v>
      </c>
      <c r="W386" cm="1">
        <f t="array" aca="1" ref="W386" ca="1">IF(AND(INDIRECT("B"&amp;(T386+70))="X",INDIRECT("B"&amp;(U386+70))="X",INDIRECT("B"&amp;(V386+70))="X"),1,0)+IF(AND(INDIRECT("C"&amp;(T386+70))="X",INDIRECT("C"&amp;(U386+70))="X",INDIRECT("C"&amp;(V386+70))="X"),1,0)+IF(AND(INDIRECT("D"&amp;(T386+70))="X",INDIRECT("D"&amp;(U386+70))="X",INDIRECT("D"&amp;(V386+70))="X"),1,0)+IF(AND(INDIRECT("E"&amp;(T386+70))="X",INDIRECT("E"&amp;(U386+70))="X",INDIRECT("E"&amp;(V386+70))="X"),1,0)+IF(AND(INDIRECT("F"&amp;(T386+70))="X",INDIRECT("F"&amp;(U386+70))="X",INDIRECT("F"&amp;(V386+70))="X"),1,0)+IF(AND(INDIRECT("G"&amp;(T386+70))="X",INDIRECT("G"&amp;(U386+70))="X",INDIRECT("G"&amp;(V386+70))="X"),1,0)+IF(AND(INDIRECT("H"&amp;(T386+70))="X",INDIRECT("H"&amp;(U386+70))="X",INDIRECT("H"&amp;(V386+70))="X"),1,0)+IF(AND(INDIRECT("I"&amp;(T386+70))="X",INDIRECT("I"&amp;(U386+70))="X",INDIRECT("I"&amp;(V386+70))="X"),1,0)+IF(AND(INDIRECT("J"&amp;(T386+70))="X",INDIRECT("J"&amp;(U386+70))="X",INDIRECT("J"&amp;(V386+70))="X"),1,0)+IF(AND(INDIRECT("K"&amp;(T386+70))="X",INDIRECT("K"&amp;(U386+70))="X",INDIRECT("K"&amp;(V386+70))="X"),1,0)+IF(AND(INDIRECT("L"&amp;(T386+70))="X",INDIRECT("L"&amp;(U386+70))="X",INDIRECT("L"&amp;(V386+70))="X"),1,0)+IF(AND(INDIRECT("M"&amp;(T386+70))="X",INDIRECT("M"&amp;(U386+70))="X",INDIRECT("M"&amp;(V386+70))="X"),1,0)+IF(AND(INDIRECT("N"&amp;(T386+70))="X",INDIRECT("N"&amp;(U386+70))="X",INDIRECT("N"&amp;(V386+70))="X"),1,0)+IF(AND(INDIRECT("O"&amp;(T386+70))="X",INDIRECT("O"&amp;(U386+70))="X",INDIRECT("O"&amp;(V386+70))="X"),1,0)+IF(AND(INDIRECT("P"&amp;(T386+70))="X",INDIRECT("P"&amp;(U386+70))="X",INDIRECT("P"&amp;(V386+70))="X"),1,0)+IF(AND(INDIRECT("Q"&amp;(T386+70))="X",INDIRECT("Q"&amp;(U386+70))="X",INDIRECT("Q"&amp;(V386+70))="X"),1,0)</f>
        <v>1</v>
      </c>
    </row>
    <row r="387" spans="20:23" x14ac:dyDescent="0.3">
      <c r="T387">
        <v>8</v>
      </c>
      <c r="U387">
        <v>9</v>
      </c>
      <c r="V387">
        <v>13</v>
      </c>
      <c r="W387" cm="1">
        <f t="array" aca="1" ref="W387" ca="1">IF(AND(INDIRECT("B"&amp;(T387+70))="X",INDIRECT("B"&amp;(U387+70))="X",INDIRECT("B"&amp;(V387+70))="X"),1,0)+IF(AND(INDIRECT("C"&amp;(T387+70))="X",INDIRECT("C"&amp;(U387+70))="X",INDIRECT("C"&amp;(V387+70))="X"),1,0)+IF(AND(INDIRECT("D"&amp;(T387+70))="X",INDIRECT("D"&amp;(U387+70))="X",INDIRECT("D"&amp;(V387+70))="X"),1,0)+IF(AND(INDIRECT("E"&amp;(T387+70))="X",INDIRECT("E"&amp;(U387+70))="X",INDIRECT("E"&amp;(V387+70))="X"),1,0)+IF(AND(INDIRECT("F"&amp;(T387+70))="X",INDIRECT("F"&amp;(U387+70))="X",INDIRECT("F"&amp;(V387+70))="X"),1,0)+IF(AND(INDIRECT("G"&amp;(T387+70))="X",INDIRECT("G"&amp;(U387+70))="X",INDIRECT("G"&amp;(V387+70))="X"),1,0)+IF(AND(INDIRECT("H"&amp;(T387+70))="X",INDIRECT("H"&amp;(U387+70))="X",INDIRECT("H"&amp;(V387+70))="X"),1,0)+IF(AND(INDIRECT("I"&amp;(T387+70))="X",INDIRECT("I"&amp;(U387+70))="X",INDIRECT("I"&amp;(V387+70))="X"),1,0)+IF(AND(INDIRECT("J"&amp;(T387+70))="X",INDIRECT("J"&amp;(U387+70))="X",INDIRECT("J"&amp;(V387+70))="X"),1,0)+IF(AND(INDIRECT("K"&amp;(T387+70))="X",INDIRECT("K"&amp;(U387+70))="X",INDIRECT("K"&amp;(V387+70))="X"),1,0)+IF(AND(INDIRECT("L"&amp;(T387+70))="X",INDIRECT("L"&amp;(U387+70))="X",INDIRECT("L"&amp;(V387+70))="X"),1,0)+IF(AND(INDIRECT("M"&amp;(T387+70))="X",INDIRECT("M"&amp;(U387+70))="X",INDIRECT("M"&amp;(V387+70))="X"),1,0)+IF(AND(INDIRECT("N"&amp;(T387+70))="X",INDIRECT("N"&amp;(U387+70))="X",INDIRECT("N"&amp;(V387+70))="X"),1,0)+IF(AND(INDIRECT("O"&amp;(T387+70))="X",INDIRECT("O"&amp;(U387+70))="X",INDIRECT("O"&amp;(V387+70))="X"),1,0)+IF(AND(INDIRECT("P"&amp;(T387+70))="X",INDIRECT("P"&amp;(U387+70))="X",INDIRECT("P"&amp;(V387+70))="X"),1,0)+IF(AND(INDIRECT("Q"&amp;(T387+70))="X",INDIRECT("Q"&amp;(U387+70))="X",INDIRECT("Q"&amp;(V387+70))="X"),1,0)</f>
        <v>1</v>
      </c>
    </row>
    <row r="388" spans="20:23" x14ac:dyDescent="0.3">
      <c r="T388">
        <v>8</v>
      </c>
      <c r="U388">
        <v>9</v>
      </c>
      <c r="V388">
        <v>14</v>
      </c>
      <c r="W388" cm="1">
        <f t="array" aca="1" ref="W388" ca="1">IF(AND(INDIRECT("B"&amp;(T388+70))="X",INDIRECT("B"&amp;(U388+70))="X",INDIRECT("B"&amp;(V388+70))="X"),1,0)+IF(AND(INDIRECT("C"&amp;(T388+70))="X",INDIRECT("C"&amp;(U388+70))="X",INDIRECT("C"&amp;(V388+70))="X"),1,0)+IF(AND(INDIRECT("D"&amp;(T388+70))="X",INDIRECT("D"&amp;(U388+70))="X",INDIRECT("D"&amp;(V388+70))="X"),1,0)+IF(AND(INDIRECT("E"&amp;(T388+70))="X",INDIRECT("E"&amp;(U388+70))="X",INDIRECT("E"&amp;(V388+70))="X"),1,0)+IF(AND(INDIRECT("F"&amp;(T388+70))="X",INDIRECT("F"&amp;(U388+70))="X",INDIRECT("F"&amp;(V388+70))="X"),1,0)+IF(AND(INDIRECT("G"&amp;(T388+70))="X",INDIRECT("G"&amp;(U388+70))="X",INDIRECT("G"&amp;(V388+70))="X"),1,0)+IF(AND(INDIRECT("H"&amp;(T388+70))="X",INDIRECT("H"&amp;(U388+70))="X",INDIRECT("H"&amp;(V388+70))="X"),1,0)+IF(AND(INDIRECT("I"&amp;(T388+70))="X",INDIRECT("I"&amp;(U388+70))="X",INDIRECT("I"&amp;(V388+70))="X"),1,0)+IF(AND(INDIRECT("J"&amp;(T388+70))="X",INDIRECT("J"&amp;(U388+70))="X",INDIRECT("J"&amp;(V388+70))="X"),1,0)+IF(AND(INDIRECT("K"&amp;(T388+70))="X",INDIRECT("K"&amp;(U388+70))="X",INDIRECT("K"&amp;(V388+70))="X"),1,0)+IF(AND(INDIRECT("L"&amp;(T388+70))="X",INDIRECT("L"&amp;(U388+70))="X",INDIRECT("L"&amp;(V388+70))="X"),1,0)+IF(AND(INDIRECT("M"&amp;(T388+70))="X",INDIRECT("M"&amp;(U388+70))="X",INDIRECT("M"&amp;(V388+70))="X"),1,0)+IF(AND(INDIRECT("N"&amp;(T388+70))="X",INDIRECT("N"&amp;(U388+70))="X",INDIRECT("N"&amp;(V388+70))="X"),1,0)+IF(AND(INDIRECT("O"&amp;(T388+70))="X",INDIRECT("O"&amp;(U388+70))="X",INDIRECT("O"&amp;(V388+70))="X"),1,0)+IF(AND(INDIRECT("P"&amp;(T388+70))="X",INDIRECT("P"&amp;(U388+70))="X",INDIRECT("P"&amp;(V388+70))="X"),1,0)+IF(AND(INDIRECT("Q"&amp;(T388+70))="X",INDIRECT("Q"&amp;(U388+70))="X",INDIRECT("Q"&amp;(V388+70))="X"),1,0)</f>
        <v>1</v>
      </c>
    </row>
    <row r="389" spans="20:23" x14ac:dyDescent="0.3">
      <c r="T389">
        <v>8</v>
      </c>
      <c r="U389">
        <v>10</v>
      </c>
      <c r="V389">
        <v>11</v>
      </c>
      <c r="W389" cm="1">
        <f t="array" aca="1" ref="W389" ca="1">IF(AND(INDIRECT("B"&amp;(T389+70))="X",INDIRECT("B"&amp;(U389+70))="X",INDIRECT("B"&amp;(V389+70))="X"),1,0)+IF(AND(INDIRECT("C"&amp;(T389+70))="X",INDIRECT("C"&amp;(U389+70))="X",INDIRECT("C"&amp;(V389+70))="X"),1,0)+IF(AND(INDIRECT("D"&amp;(T389+70))="X",INDIRECT("D"&amp;(U389+70))="X",INDIRECT("D"&amp;(V389+70))="X"),1,0)+IF(AND(INDIRECT("E"&amp;(T389+70))="X",INDIRECT("E"&amp;(U389+70))="X",INDIRECT("E"&amp;(V389+70))="X"),1,0)+IF(AND(INDIRECT("F"&amp;(T389+70))="X",INDIRECT("F"&amp;(U389+70))="X",INDIRECT("F"&amp;(V389+70))="X"),1,0)+IF(AND(INDIRECT("G"&amp;(T389+70))="X",INDIRECT("G"&amp;(U389+70))="X",INDIRECT("G"&amp;(V389+70))="X"),1,0)+IF(AND(INDIRECT("H"&amp;(T389+70))="X",INDIRECT("H"&amp;(U389+70))="X",INDIRECT("H"&amp;(V389+70))="X"),1,0)+IF(AND(INDIRECT("I"&amp;(T389+70))="X",INDIRECT("I"&amp;(U389+70))="X",INDIRECT("I"&amp;(V389+70))="X"),1,0)+IF(AND(INDIRECT("J"&amp;(T389+70))="X",INDIRECT("J"&amp;(U389+70))="X",INDIRECT("J"&amp;(V389+70))="X"),1,0)+IF(AND(INDIRECT("K"&amp;(T389+70))="X",INDIRECT("K"&amp;(U389+70))="X",INDIRECT("K"&amp;(V389+70))="X"),1,0)+IF(AND(INDIRECT("L"&amp;(T389+70))="X",INDIRECT("L"&amp;(U389+70))="X",INDIRECT("L"&amp;(V389+70))="X"),1,0)+IF(AND(INDIRECT("M"&amp;(T389+70))="X",INDIRECT("M"&amp;(U389+70))="X",INDIRECT("M"&amp;(V389+70))="X"),1,0)+IF(AND(INDIRECT("N"&amp;(T389+70))="X",INDIRECT("N"&amp;(U389+70))="X",INDIRECT("N"&amp;(V389+70))="X"),1,0)+IF(AND(INDIRECT("O"&amp;(T389+70))="X",INDIRECT("O"&amp;(U389+70))="X",INDIRECT("O"&amp;(V389+70))="X"),1,0)+IF(AND(INDIRECT("P"&amp;(T389+70))="X",INDIRECT("P"&amp;(U389+70))="X",INDIRECT("P"&amp;(V389+70))="X"),1,0)+IF(AND(INDIRECT("Q"&amp;(T389+70))="X",INDIRECT("Q"&amp;(U389+70))="X",INDIRECT("Q"&amp;(V389+70))="X"),1,0)</f>
        <v>0</v>
      </c>
    </row>
    <row r="390" spans="20:23" x14ac:dyDescent="0.3">
      <c r="T390">
        <v>8</v>
      </c>
      <c r="U390">
        <v>10</v>
      </c>
      <c r="V390">
        <v>12</v>
      </c>
      <c r="W390" cm="1">
        <f t="array" aca="1" ref="W390" ca="1">IF(AND(INDIRECT("B"&amp;(T390+70))="X",INDIRECT("B"&amp;(U390+70))="X",INDIRECT("B"&amp;(V390+70))="X"),1,0)+IF(AND(INDIRECT("C"&amp;(T390+70))="X",INDIRECT("C"&amp;(U390+70))="X",INDIRECT("C"&amp;(V390+70))="X"),1,0)+IF(AND(INDIRECT("D"&amp;(T390+70))="X",INDIRECT("D"&amp;(U390+70))="X",INDIRECT("D"&amp;(V390+70))="X"),1,0)+IF(AND(INDIRECT("E"&amp;(T390+70))="X",INDIRECT("E"&amp;(U390+70))="X",INDIRECT("E"&amp;(V390+70))="X"),1,0)+IF(AND(INDIRECT("F"&amp;(T390+70))="X",INDIRECT("F"&amp;(U390+70))="X",INDIRECT("F"&amp;(V390+70))="X"),1,0)+IF(AND(INDIRECT("G"&amp;(T390+70))="X",INDIRECT("G"&amp;(U390+70))="X",INDIRECT("G"&amp;(V390+70))="X"),1,0)+IF(AND(INDIRECT("H"&amp;(T390+70))="X",INDIRECT("H"&amp;(U390+70))="X",INDIRECT("H"&amp;(V390+70))="X"),1,0)+IF(AND(INDIRECT("I"&amp;(T390+70))="X",INDIRECT("I"&amp;(U390+70))="X",INDIRECT("I"&amp;(V390+70))="X"),1,0)+IF(AND(INDIRECT("J"&amp;(T390+70))="X",INDIRECT("J"&amp;(U390+70))="X",INDIRECT("J"&amp;(V390+70))="X"),1,0)+IF(AND(INDIRECT("K"&amp;(T390+70))="X",INDIRECT("K"&amp;(U390+70))="X",INDIRECT("K"&amp;(V390+70))="X"),1,0)+IF(AND(INDIRECT("L"&amp;(T390+70))="X",INDIRECT("L"&amp;(U390+70))="X",INDIRECT("L"&amp;(V390+70))="X"),1,0)+IF(AND(INDIRECT("M"&amp;(T390+70))="X",INDIRECT("M"&amp;(U390+70))="X",INDIRECT("M"&amp;(V390+70))="X"),1,0)+IF(AND(INDIRECT("N"&amp;(T390+70))="X",INDIRECT("N"&amp;(U390+70))="X",INDIRECT("N"&amp;(V390+70))="X"),1,0)+IF(AND(INDIRECT("O"&amp;(T390+70))="X",INDIRECT("O"&amp;(U390+70))="X",INDIRECT("O"&amp;(V390+70))="X"),1,0)+IF(AND(INDIRECT("P"&amp;(T390+70))="X",INDIRECT("P"&amp;(U390+70))="X",INDIRECT("P"&amp;(V390+70))="X"),1,0)+IF(AND(INDIRECT("Q"&amp;(T390+70))="X",INDIRECT("Q"&amp;(U390+70))="X",INDIRECT("Q"&amp;(V390+70))="X"),1,0)</f>
        <v>1</v>
      </c>
    </row>
    <row r="391" spans="20:23" x14ac:dyDescent="0.3">
      <c r="T391">
        <v>8</v>
      </c>
      <c r="U391">
        <v>10</v>
      </c>
      <c r="V391">
        <v>13</v>
      </c>
      <c r="W391" cm="1">
        <f t="array" aca="1" ref="W391" ca="1">IF(AND(INDIRECT("B"&amp;(T391+70))="X",INDIRECT("B"&amp;(U391+70))="X",INDIRECT("B"&amp;(V391+70))="X"),1,0)+IF(AND(INDIRECT("C"&amp;(T391+70))="X",INDIRECT("C"&amp;(U391+70))="X",INDIRECT("C"&amp;(V391+70))="X"),1,0)+IF(AND(INDIRECT("D"&amp;(T391+70))="X",INDIRECT("D"&amp;(U391+70))="X",INDIRECT("D"&amp;(V391+70))="X"),1,0)+IF(AND(INDIRECT("E"&amp;(T391+70))="X",INDIRECT("E"&amp;(U391+70))="X",INDIRECT("E"&amp;(V391+70))="X"),1,0)+IF(AND(INDIRECT("F"&amp;(T391+70))="X",INDIRECT("F"&amp;(U391+70))="X",INDIRECT("F"&amp;(V391+70))="X"),1,0)+IF(AND(INDIRECT("G"&amp;(T391+70))="X",INDIRECT("G"&amp;(U391+70))="X",INDIRECT("G"&amp;(V391+70))="X"),1,0)+IF(AND(INDIRECT("H"&amp;(T391+70))="X",INDIRECT("H"&amp;(U391+70))="X",INDIRECT("H"&amp;(V391+70))="X"),1,0)+IF(AND(INDIRECT("I"&amp;(T391+70))="X",INDIRECT("I"&amp;(U391+70))="X",INDIRECT("I"&amp;(V391+70))="X"),1,0)+IF(AND(INDIRECT("J"&amp;(T391+70))="X",INDIRECT("J"&amp;(U391+70))="X",INDIRECT("J"&amp;(V391+70))="X"),1,0)+IF(AND(INDIRECT("K"&amp;(T391+70))="X",INDIRECT("K"&amp;(U391+70))="X",INDIRECT("K"&amp;(V391+70))="X"),1,0)+IF(AND(INDIRECT("L"&amp;(T391+70))="X",INDIRECT("L"&amp;(U391+70))="X",INDIRECT("L"&amp;(V391+70))="X"),1,0)+IF(AND(INDIRECT("M"&amp;(T391+70))="X",INDIRECT("M"&amp;(U391+70))="X",INDIRECT("M"&amp;(V391+70))="X"),1,0)+IF(AND(INDIRECT("N"&amp;(T391+70))="X",INDIRECT("N"&amp;(U391+70))="X",INDIRECT("N"&amp;(V391+70))="X"),1,0)+IF(AND(INDIRECT("O"&amp;(T391+70))="X",INDIRECT("O"&amp;(U391+70))="X",INDIRECT("O"&amp;(V391+70))="X"),1,0)+IF(AND(INDIRECT("P"&amp;(T391+70))="X",INDIRECT("P"&amp;(U391+70))="X",INDIRECT("P"&amp;(V391+70))="X"),1,0)+IF(AND(INDIRECT("Q"&amp;(T391+70))="X",INDIRECT("Q"&amp;(U391+70))="X",INDIRECT("Q"&amp;(V391+70))="X"),1,0)</f>
        <v>1</v>
      </c>
    </row>
    <row r="392" spans="20:23" x14ac:dyDescent="0.3">
      <c r="T392">
        <v>8</v>
      </c>
      <c r="U392">
        <v>10</v>
      </c>
      <c r="V392">
        <v>14</v>
      </c>
      <c r="W392" cm="1">
        <f t="array" aca="1" ref="W392" ca="1">IF(AND(INDIRECT("B"&amp;(T392+70))="X",INDIRECT("B"&amp;(U392+70))="X",INDIRECT("B"&amp;(V392+70))="X"),1,0)+IF(AND(INDIRECT("C"&amp;(T392+70))="X",INDIRECT("C"&amp;(U392+70))="X",INDIRECT("C"&amp;(V392+70))="X"),1,0)+IF(AND(INDIRECT("D"&amp;(T392+70))="X",INDIRECT("D"&amp;(U392+70))="X",INDIRECT("D"&amp;(V392+70))="X"),1,0)+IF(AND(INDIRECT("E"&amp;(T392+70))="X",INDIRECT("E"&amp;(U392+70))="X",INDIRECT("E"&amp;(V392+70))="X"),1,0)+IF(AND(INDIRECT("F"&amp;(T392+70))="X",INDIRECT("F"&amp;(U392+70))="X",INDIRECT("F"&amp;(V392+70))="X"),1,0)+IF(AND(INDIRECT("G"&amp;(T392+70))="X",INDIRECT("G"&amp;(U392+70))="X",INDIRECT("G"&amp;(V392+70))="X"),1,0)+IF(AND(INDIRECT("H"&amp;(T392+70))="X",INDIRECT("H"&amp;(U392+70))="X",INDIRECT("H"&amp;(V392+70))="X"),1,0)+IF(AND(INDIRECT("I"&amp;(T392+70))="X",INDIRECT("I"&amp;(U392+70))="X",INDIRECT("I"&amp;(V392+70))="X"),1,0)+IF(AND(INDIRECT("J"&amp;(T392+70))="X",INDIRECT("J"&amp;(U392+70))="X",INDIRECT("J"&amp;(V392+70))="X"),1,0)+IF(AND(INDIRECT("K"&amp;(T392+70))="X",INDIRECT("K"&amp;(U392+70))="X",INDIRECT("K"&amp;(V392+70))="X"),1,0)+IF(AND(INDIRECT("L"&amp;(T392+70))="X",INDIRECT("L"&amp;(U392+70))="X",INDIRECT("L"&amp;(V392+70))="X"),1,0)+IF(AND(INDIRECT("M"&amp;(T392+70))="X",INDIRECT("M"&amp;(U392+70))="X",INDIRECT("M"&amp;(V392+70))="X"),1,0)+IF(AND(INDIRECT("N"&amp;(T392+70))="X",INDIRECT("N"&amp;(U392+70))="X",INDIRECT("N"&amp;(V392+70))="X"),1,0)+IF(AND(INDIRECT("O"&amp;(T392+70))="X",INDIRECT("O"&amp;(U392+70))="X",INDIRECT("O"&amp;(V392+70))="X"),1,0)+IF(AND(INDIRECT("P"&amp;(T392+70))="X",INDIRECT("P"&amp;(U392+70))="X",INDIRECT("P"&amp;(V392+70))="X"),1,0)+IF(AND(INDIRECT("Q"&amp;(T392+70))="X",INDIRECT("Q"&amp;(U392+70))="X",INDIRECT("Q"&amp;(V392+70))="X"),1,0)</f>
        <v>2</v>
      </c>
    </row>
    <row r="393" spans="20:23" x14ac:dyDescent="0.3">
      <c r="T393">
        <v>8</v>
      </c>
      <c r="U393">
        <v>11</v>
      </c>
      <c r="V393">
        <v>12</v>
      </c>
      <c r="W393" cm="1">
        <f t="array" aca="1" ref="W393" ca="1">IF(AND(INDIRECT("B"&amp;(T393+70))="X",INDIRECT("B"&amp;(U393+70))="X",INDIRECT("B"&amp;(V393+70))="X"),1,0)+IF(AND(INDIRECT("C"&amp;(T393+70))="X",INDIRECT("C"&amp;(U393+70))="X",INDIRECT("C"&amp;(V393+70))="X"),1,0)+IF(AND(INDIRECT("D"&amp;(T393+70))="X",INDIRECT("D"&amp;(U393+70))="X",INDIRECT("D"&amp;(V393+70))="X"),1,0)+IF(AND(INDIRECT("E"&amp;(T393+70))="X",INDIRECT("E"&amp;(U393+70))="X",INDIRECT("E"&amp;(V393+70))="X"),1,0)+IF(AND(INDIRECT("F"&amp;(T393+70))="X",INDIRECT("F"&amp;(U393+70))="X",INDIRECT("F"&amp;(V393+70))="X"),1,0)+IF(AND(INDIRECT("G"&amp;(T393+70))="X",INDIRECT("G"&amp;(U393+70))="X",INDIRECT("G"&amp;(V393+70))="X"),1,0)+IF(AND(INDIRECT("H"&amp;(T393+70))="X",INDIRECT("H"&amp;(U393+70))="X",INDIRECT("H"&amp;(V393+70))="X"),1,0)+IF(AND(INDIRECT("I"&amp;(T393+70))="X",INDIRECT("I"&amp;(U393+70))="X",INDIRECT("I"&amp;(V393+70))="X"),1,0)+IF(AND(INDIRECT("J"&amp;(T393+70))="X",INDIRECT("J"&amp;(U393+70))="X",INDIRECT("J"&amp;(V393+70))="X"),1,0)+IF(AND(INDIRECT("K"&amp;(T393+70))="X",INDIRECT("K"&amp;(U393+70))="X",INDIRECT("K"&amp;(V393+70))="X"),1,0)+IF(AND(INDIRECT("L"&amp;(T393+70))="X",INDIRECT("L"&amp;(U393+70))="X",INDIRECT("L"&amp;(V393+70))="X"),1,0)+IF(AND(INDIRECT("M"&amp;(T393+70))="X",INDIRECT("M"&amp;(U393+70))="X",INDIRECT("M"&amp;(V393+70))="X"),1,0)+IF(AND(INDIRECT("N"&amp;(T393+70))="X",INDIRECT("N"&amp;(U393+70))="X",INDIRECT("N"&amp;(V393+70))="X"),1,0)+IF(AND(INDIRECT("O"&amp;(T393+70))="X",INDIRECT("O"&amp;(U393+70))="X",INDIRECT("O"&amp;(V393+70))="X"),1,0)+IF(AND(INDIRECT("P"&amp;(T393+70))="X",INDIRECT("P"&amp;(U393+70))="X",INDIRECT("P"&amp;(V393+70))="X"),1,0)+IF(AND(INDIRECT("Q"&amp;(T393+70))="X",INDIRECT("Q"&amp;(U393+70))="X",INDIRECT("Q"&amp;(V393+70))="X"),1,0)</f>
        <v>0</v>
      </c>
    </row>
    <row r="394" spans="20:23" x14ac:dyDescent="0.3">
      <c r="T394">
        <v>8</v>
      </c>
      <c r="U394">
        <v>11</v>
      </c>
      <c r="V394">
        <v>13</v>
      </c>
      <c r="W394" cm="1">
        <f t="array" aca="1" ref="W394" ca="1">IF(AND(INDIRECT("B"&amp;(T394+70))="X",INDIRECT("B"&amp;(U394+70))="X",INDIRECT("B"&amp;(V394+70))="X"),1,0)+IF(AND(INDIRECT("C"&amp;(T394+70))="X",INDIRECT("C"&amp;(U394+70))="X",INDIRECT("C"&amp;(V394+70))="X"),1,0)+IF(AND(INDIRECT("D"&amp;(T394+70))="X",INDIRECT("D"&amp;(U394+70))="X",INDIRECT("D"&amp;(V394+70))="X"),1,0)+IF(AND(INDIRECT("E"&amp;(T394+70))="X",INDIRECT("E"&amp;(U394+70))="X",INDIRECT("E"&amp;(V394+70))="X"),1,0)+IF(AND(INDIRECT("F"&amp;(T394+70))="X",INDIRECT("F"&amp;(U394+70))="X",INDIRECT("F"&amp;(V394+70))="X"),1,0)+IF(AND(INDIRECT("G"&amp;(T394+70))="X",INDIRECT("G"&amp;(U394+70))="X",INDIRECT("G"&amp;(V394+70))="X"),1,0)+IF(AND(INDIRECT("H"&amp;(T394+70))="X",INDIRECT("H"&amp;(U394+70))="X",INDIRECT("H"&amp;(V394+70))="X"),1,0)+IF(AND(INDIRECT("I"&amp;(T394+70))="X",INDIRECT("I"&amp;(U394+70))="X",INDIRECT("I"&amp;(V394+70))="X"),1,0)+IF(AND(INDIRECT("J"&amp;(T394+70))="X",INDIRECT("J"&amp;(U394+70))="X",INDIRECT("J"&amp;(V394+70))="X"),1,0)+IF(AND(INDIRECT("K"&amp;(T394+70))="X",INDIRECT("K"&amp;(U394+70))="X",INDIRECT("K"&amp;(V394+70))="X"),1,0)+IF(AND(INDIRECT("L"&amp;(T394+70))="X",INDIRECT("L"&amp;(U394+70))="X",INDIRECT("L"&amp;(V394+70))="X"),1,0)+IF(AND(INDIRECT("M"&amp;(T394+70))="X",INDIRECT("M"&amp;(U394+70))="X",INDIRECT("M"&amp;(V394+70))="X"),1,0)+IF(AND(INDIRECT("N"&amp;(T394+70))="X",INDIRECT("N"&amp;(U394+70))="X",INDIRECT("N"&amp;(V394+70))="X"),1,0)+IF(AND(INDIRECT("O"&amp;(T394+70))="X",INDIRECT("O"&amp;(U394+70))="X",INDIRECT("O"&amp;(V394+70))="X"),1,0)+IF(AND(INDIRECT("P"&amp;(T394+70))="X",INDIRECT("P"&amp;(U394+70))="X",INDIRECT("P"&amp;(V394+70))="X"),1,0)+IF(AND(INDIRECT("Q"&amp;(T394+70))="X",INDIRECT("Q"&amp;(U394+70))="X",INDIRECT("Q"&amp;(V394+70))="X"),1,0)</f>
        <v>1</v>
      </c>
    </row>
    <row r="395" spans="20:23" x14ac:dyDescent="0.3">
      <c r="T395">
        <v>8</v>
      </c>
      <c r="U395">
        <v>11</v>
      </c>
      <c r="V395">
        <v>14</v>
      </c>
      <c r="W395" cm="1">
        <f t="array" aca="1" ref="W395" ca="1">IF(AND(INDIRECT("B"&amp;(T395+70))="X",INDIRECT("B"&amp;(U395+70))="X",INDIRECT("B"&amp;(V395+70))="X"),1,0)+IF(AND(INDIRECT("C"&amp;(T395+70))="X",INDIRECT("C"&amp;(U395+70))="X",INDIRECT("C"&amp;(V395+70))="X"),1,0)+IF(AND(INDIRECT("D"&amp;(T395+70))="X",INDIRECT("D"&amp;(U395+70))="X",INDIRECT("D"&amp;(V395+70))="X"),1,0)+IF(AND(INDIRECT("E"&amp;(T395+70))="X",INDIRECT("E"&amp;(U395+70))="X",INDIRECT("E"&amp;(V395+70))="X"),1,0)+IF(AND(INDIRECT("F"&amp;(T395+70))="X",INDIRECT("F"&amp;(U395+70))="X",INDIRECT("F"&amp;(V395+70))="X"),1,0)+IF(AND(INDIRECT("G"&amp;(T395+70))="X",INDIRECT("G"&amp;(U395+70))="X",INDIRECT("G"&amp;(V395+70))="X"),1,0)+IF(AND(INDIRECT("H"&amp;(T395+70))="X",INDIRECT("H"&amp;(U395+70))="X",INDIRECT("H"&amp;(V395+70))="X"),1,0)+IF(AND(INDIRECT("I"&amp;(T395+70))="X",INDIRECT("I"&amp;(U395+70))="X",INDIRECT("I"&amp;(V395+70))="X"),1,0)+IF(AND(INDIRECT("J"&amp;(T395+70))="X",INDIRECT("J"&amp;(U395+70))="X",INDIRECT("J"&amp;(V395+70))="X"),1,0)+IF(AND(INDIRECT("K"&amp;(T395+70))="X",INDIRECT("K"&amp;(U395+70))="X",INDIRECT("K"&amp;(V395+70))="X"),1,0)+IF(AND(INDIRECT("L"&amp;(T395+70))="X",INDIRECT("L"&amp;(U395+70))="X",INDIRECT("L"&amp;(V395+70))="X"),1,0)+IF(AND(INDIRECT("M"&amp;(T395+70))="X",INDIRECT("M"&amp;(U395+70))="X",INDIRECT("M"&amp;(V395+70))="X"),1,0)+IF(AND(INDIRECT("N"&amp;(T395+70))="X",INDIRECT("N"&amp;(U395+70))="X",INDIRECT("N"&amp;(V395+70))="X"),1,0)+IF(AND(INDIRECT("O"&amp;(T395+70))="X",INDIRECT("O"&amp;(U395+70))="X",INDIRECT("O"&amp;(V395+70))="X"),1,0)+IF(AND(INDIRECT("P"&amp;(T395+70))="X",INDIRECT("P"&amp;(U395+70))="X",INDIRECT("P"&amp;(V395+70))="X"),1,0)+IF(AND(INDIRECT("Q"&amp;(T395+70))="X",INDIRECT("Q"&amp;(U395+70))="X",INDIRECT("Q"&amp;(V395+70))="X"),1,0)</f>
        <v>0</v>
      </c>
    </row>
    <row r="396" spans="20:23" x14ac:dyDescent="0.3">
      <c r="T396">
        <v>8</v>
      </c>
      <c r="U396">
        <v>12</v>
      </c>
      <c r="V396">
        <v>13</v>
      </c>
      <c r="W396" cm="1">
        <f t="array" aca="1" ref="W396" ca="1">IF(AND(INDIRECT("B"&amp;(T396+70))="X",INDIRECT("B"&amp;(U396+70))="X",INDIRECT("B"&amp;(V396+70))="X"),1,0)+IF(AND(INDIRECT("C"&amp;(T396+70))="X",INDIRECT("C"&amp;(U396+70))="X",INDIRECT("C"&amp;(V396+70))="X"),1,0)+IF(AND(INDIRECT("D"&amp;(T396+70))="X",INDIRECT("D"&amp;(U396+70))="X",INDIRECT("D"&amp;(V396+70))="X"),1,0)+IF(AND(INDIRECT("E"&amp;(T396+70))="X",INDIRECT("E"&amp;(U396+70))="X",INDIRECT("E"&amp;(V396+70))="X"),1,0)+IF(AND(INDIRECT("F"&amp;(T396+70))="X",INDIRECT("F"&amp;(U396+70))="X",INDIRECT("F"&amp;(V396+70))="X"),1,0)+IF(AND(INDIRECT("G"&amp;(T396+70))="X",INDIRECT("G"&amp;(U396+70))="X",INDIRECT("G"&amp;(V396+70))="X"),1,0)+IF(AND(INDIRECT("H"&amp;(T396+70))="X",INDIRECT("H"&amp;(U396+70))="X",INDIRECT("H"&amp;(V396+70))="X"),1,0)+IF(AND(INDIRECT("I"&amp;(T396+70))="X",INDIRECT("I"&amp;(U396+70))="X",INDIRECT("I"&amp;(V396+70))="X"),1,0)+IF(AND(INDIRECT("J"&amp;(T396+70))="X",INDIRECT("J"&amp;(U396+70))="X",INDIRECT("J"&amp;(V396+70))="X"),1,0)+IF(AND(INDIRECT("K"&amp;(T396+70))="X",INDIRECT("K"&amp;(U396+70))="X",INDIRECT("K"&amp;(V396+70))="X"),1,0)+IF(AND(INDIRECT("L"&amp;(T396+70))="X",INDIRECT("L"&amp;(U396+70))="X",INDIRECT("L"&amp;(V396+70))="X"),1,0)+IF(AND(INDIRECT("M"&amp;(T396+70))="X",INDIRECT("M"&amp;(U396+70))="X",INDIRECT("M"&amp;(V396+70))="X"),1,0)+IF(AND(INDIRECT("N"&amp;(T396+70))="X",INDIRECT("N"&amp;(U396+70))="X",INDIRECT("N"&amp;(V396+70))="X"),1,0)+IF(AND(INDIRECT("O"&amp;(T396+70))="X",INDIRECT("O"&amp;(U396+70))="X",INDIRECT("O"&amp;(V396+70))="X"),1,0)+IF(AND(INDIRECT("P"&amp;(T396+70))="X",INDIRECT("P"&amp;(U396+70))="X",INDIRECT("P"&amp;(V396+70))="X"),1,0)+IF(AND(INDIRECT("Q"&amp;(T396+70))="X",INDIRECT("Q"&amp;(U396+70))="X",INDIRECT("Q"&amp;(V396+70))="X"),1,0)</f>
        <v>3</v>
      </c>
    </row>
    <row r="397" spans="20:23" x14ac:dyDescent="0.3">
      <c r="T397">
        <v>8</v>
      </c>
      <c r="U397">
        <v>12</v>
      </c>
      <c r="V397">
        <v>14</v>
      </c>
      <c r="W397" cm="1">
        <f t="array" aca="1" ref="W397" ca="1">IF(AND(INDIRECT("B"&amp;(T397+70))="X",INDIRECT("B"&amp;(U397+70))="X",INDIRECT("B"&amp;(V397+70))="X"),1,0)+IF(AND(INDIRECT("C"&amp;(T397+70))="X",INDIRECT("C"&amp;(U397+70))="X",INDIRECT("C"&amp;(V397+70))="X"),1,0)+IF(AND(INDIRECT("D"&amp;(T397+70))="X",INDIRECT("D"&amp;(U397+70))="X",INDIRECT("D"&amp;(V397+70))="X"),1,0)+IF(AND(INDIRECT("E"&amp;(T397+70))="X",INDIRECT("E"&amp;(U397+70))="X",INDIRECT("E"&amp;(V397+70))="X"),1,0)+IF(AND(INDIRECT("F"&amp;(T397+70))="X",INDIRECT("F"&amp;(U397+70))="X",INDIRECT("F"&amp;(V397+70))="X"),1,0)+IF(AND(INDIRECT("G"&amp;(T397+70))="X",INDIRECT("G"&amp;(U397+70))="X",INDIRECT("G"&amp;(V397+70))="X"),1,0)+IF(AND(INDIRECT("H"&amp;(T397+70))="X",INDIRECT("H"&amp;(U397+70))="X",INDIRECT("H"&amp;(V397+70))="X"),1,0)+IF(AND(INDIRECT("I"&amp;(T397+70))="X",INDIRECT("I"&amp;(U397+70))="X",INDIRECT("I"&amp;(V397+70))="X"),1,0)+IF(AND(INDIRECT("J"&amp;(T397+70))="X",INDIRECT("J"&amp;(U397+70))="X",INDIRECT("J"&amp;(V397+70))="X"),1,0)+IF(AND(INDIRECT("K"&amp;(T397+70))="X",INDIRECT("K"&amp;(U397+70))="X",INDIRECT("K"&amp;(V397+70))="X"),1,0)+IF(AND(INDIRECT("L"&amp;(T397+70))="X",INDIRECT("L"&amp;(U397+70))="X",INDIRECT("L"&amp;(V397+70))="X"),1,0)+IF(AND(INDIRECT("M"&amp;(T397+70))="X",INDIRECT("M"&amp;(U397+70))="X",INDIRECT("M"&amp;(V397+70))="X"),1,0)+IF(AND(INDIRECT("N"&amp;(T397+70))="X",INDIRECT("N"&amp;(U397+70))="X",INDIRECT("N"&amp;(V397+70))="X"),1,0)+IF(AND(INDIRECT("O"&amp;(T397+70))="X",INDIRECT("O"&amp;(U397+70))="X",INDIRECT("O"&amp;(V397+70))="X"),1,0)+IF(AND(INDIRECT("P"&amp;(T397+70))="X",INDIRECT("P"&amp;(U397+70))="X",INDIRECT("P"&amp;(V397+70))="X"),1,0)+IF(AND(INDIRECT("Q"&amp;(T397+70))="X",INDIRECT("Q"&amp;(U397+70))="X",INDIRECT("Q"&amp;(V397+70))="X"),1,0)</f>
        <v>3</v>
      </c>
    </row>
    <row r="398" spans="20:23" x14ac:dyDescent="0.3">
      <c r="T398">
        <v>8</v>
      </c>
      <c r="U398">
        <v>13</v>
      </c>
      <c r="V398">
        <v>14</v>
      </c>
      <c r="W398" cm="1">
        <f t="array" aca="1" ref="W398" ca="1">IF(AND(INDIRECT("B"&amp;(T398+70))="X",INDIRECT("B"&amp;(U398+70))="X",INDIRECT("B"&amp;(V398+70))="X"),1,0)+IF(AND(INDIRECT("C"&amp;(T398+70))="X",INDIRECT("C"&amp;(U398+70))="X",INDIRECT("C"&amp;(V398+70))="X"),1,0)+IF(AND(INDIRECT("D"&amp;(T398+70))="X",INDIRECT("D"&amp;(U398+70))="X",INDIRECT("D"&amp;(V398+70))="X"),1,0)+IF(AND(INDIRECT("E"&amp;(T398+70))="X",INDIRECT("E"&amp;(U398+70))="X",INDIRECT("E"&amp;(V398+70))="X"),1,0)+IF(AND(INDIRECT("F"&amp;(T398+70))="X",INDIRECT("F"&amp;(U398+70))="X",INDIRECT("F"&amp;(V398+70))="X"),1,0)+IF(AND(INDIRECT("G"&amp;(T398+70))="X",INDIRECT("G"&amp;(U398+70))="X",INDIRECT("G"&amp;(V398+70))="X"),1,0)+IF(AND(INDIRECT("H"&amp;(T398+70))="X",INDIRECT("H"&amp;(U398+70))="X",INDIRECT("H"&amp;(V398+70))="X"),1,0)+IF(AND(INDIRECT("I"&amp;(T398+70))="X",INDIRECT("I"&amp;(U398+70))="X",INDIRECT("I"&amp;(V398+70))="X"),1,0)+IF(AND(INDIRECT("J"&amp;(T398+70))="X",INDIRECT("J"&amp;(U398+70))="X",INDIRECT("J"&amp;(V398+70))="X"),1,0)+IF(AND(INDIRECT("K"&amp;(T398+70))="X",INDIRECT("K"&amp;(U398+70))="X",INDIRECT("K"&amp;(V398+70))="X"),1,0)+IF(AND(INDIRECT("L"&amp;(T398+70))="X",INDIRECT("L"&amp;(U398+70))="X",INDIRECT("L"&amp;(V398+70))="X"),1,0)+IF(AND(INDIRECT("M"&amp;(T398+70))="X",INDIRECT("M"&amp;(U398+70))="X",INDIRECT("M"&amp;(V398+70))="X"),1,0)+IF(AND(INDIRECT("N"&amp;(T398+70))="X",INDIRECT("N"&amp;(U398+70))="X",INDIRECT("N"&amp;(V398+70))="X"),1,0)+IF(AND(INDIRECT("O"&amp;(T398+70))="X",INDIRECT("O"&amp;(U398+70))="X",INDIRECT("O"&amp;(V398+70))="X"),1,0)+IF(AND(INDIRECT("P"&amp;(T398+70))="X",INDIRECT("P"&amp;(U398+70))="X",INDIRECT("P"&amp;(V398+70))="X"),1,0)+IF(AND(INDIRECT("Q"&amp;(T398+70))="X",INDIRECT("Q"&amp;(U398+70))="X",INDIRECT("Q"&amp;(V398+70))="X"),1,0)</f>
        <v>1</v>
      </c>
    </row>
    <row r="399" spans="20:23" x14ac:dyDescent="0.3">
      <c r="T399">
        <v>9</v>
      </c>
      <c r="U399">
        <v>10</v>
      </c>
      <c r="V399">
        <v>11</v>
      </c>
      <c r="W399" cm="1">
        <f t="array" aca="1" ref="W399" ca="1">IF(AND(INDIRECT("B"&amp;(T399+70))="X",INDIRECT("B"&amp;(U399+70))="X",INDIRECT("B"&amp;(V399+70))="X"),1,0)+IF(AND(INDIRECT("C"&amp;(T399+70))="X",INDIRECT("C"&amp;(U399+70))="X",INDIRECT("C"&amp;(V399+70))="X"),1,0)+IF(AND(INDIRECT("D"&amp;(T399+70))="X",INDIRECT("D"&amp;(U399+70))="X",INDIRECT("D"&amp;(V399+70))="X"),1,0)+IF(AND(INDIRECT("E"&amp;(T399+70))="X",INDIRECT("E"&amp;(U399+70))="X",INDIRECT("E"&amp;(V399+70))="X"),1,0)+IF(AND(INDIRECT("F"&amp;(T399+70))="X",INDIRECT("F"&amp;(U399+70))="X",INDIRECT("F"&amp;(V399+70))="X"),1,0)+IF(AND(INDIRECT("G"&amp;(T399+70))="X",INDIRECT("G"&amp;(U399+70))="X",INDIRECT("G"&amp;(V399+70))="X"),1,0)+IF(AND(INDIRECT("H"&amp;(T399+70))="X",INDIRECT("H"&amp;(U399+70))="X",INDIRECT("H"&amp;(V399+70))="X"),1,0)+IF(AND(INDIRECT("I"&amp;(T399+70))="X",INDIRECT("I"&amp;(U399+70))="X",INDIRECT("I"&amp;(V399+70))="X"),1,0)+IF(AND(INDIRECT("J"&amp;(T399+70))="X",INDIRECT("J"&amp;(U399+70))="X",INDIRECT("J"&amp;(V399+70))="X"),1,0)+IF(AND(INDIRECT("K"&amp;(T399+70))="X",INDIRECT("K"&amp;(U399+70))="X",INDIRECT("K"&amp;(V399+70))="X"),1,0)+IF(AND(INDIRECT("L"&amp;(T399+70))="X",INDIRECT("L"&amp;(U399+70))="X",INDIRECT("L"&amp;(V399+70))="X"),1,0)+IF(AND(INDIRECT("M"&amp;(T399+70))="X",INDIRECT("M"&amp;(U399+70))="X",INDIRECT("M"&amp;(V399+70))="X"),1,0)+IF(AND(INDIRECT("N"&amp;(T399+70))="X",INDIRECT("N"&amp;(U399+70))="X",INDIRECT("N"&amp;(V399+70))="X"),1,0)+IF(AND(INDIRECT("O"&amp;(T399+70))="X",INDIRECT("O"&amp;(U399+70))="X",INDIRECT("O"&amp;(V399+70))="X"),1,0)+IF(AND(INDIRECT("P"&amp;(T399+70))="X",INDIRECT("P"&amp;(U399+70))="X",INDIRECT("P"&amp;(V399+70))="X"),1,0)+IF(AND(INDIRECT("Q"&amp;(T399+70))="X",INDIRECT("Q"&amp;(U399+70))="X",INDIRECT("Q"&amp;(V399+70))="X"),1,0)</f>
        <v>1</v>
      </c>
    </row>
    <row r="400" spans="20:23" x14ac:dyDescent="0.3">
      <c r="T400">
        <v>9</v>
      </c>
      <c r="U400">
        <v>10</v>
      </c>
      <c r="V400">
        <v>12</v>
      </c>
      <c r="W400" cm="1">
        <f t="array" aca="1" ref="W400" ca="1">IF(AND(INDIRECT("B"&amp;(T400+70))="X",INDIRECT("B"&amp;(U400+70))="X",INDIRECT("B"&amp;(V400+70))="X"),1,0)+IF(AND(INDIRECT("C"&amp;(T400+70))="X",INDIRECT("C"&amp;(U400+70))="X",INDIRECT("C"&amp;(V400+70))="X"),1,0)+IF(AND(INDIRECT("D"&amp;(T400+70))="X",INDIRECT("D"&amp;(U400+70))="X",INDIRECT("D"&amp;(V400+70))="X"),1,0)+IF(AND(INDIRECT("E"&amp;(T400+70))="X",INDIRECT("E"&amp;(U400+70))="X",INDIRECT("E"&amp;(V400+70))="X"),1,0)+IF(AND(INDIRECT("F"&amp;(T400+70))="X",INDIRECT("F"&amp;(U400+70))="X",INDIRECT("F"&amp;(V400+70))="X"),1,0)+IF(AND(INDIRECT("G"&amp;(T400+70))="X",INDIRECT("G"&amp;(U400+70))="X",INDIRECT("G"&amp;(V400+70))="X"),1,0)+IF(AND(INDIRECT("H"&amp;(T400+70))="X",INDIRECT("H"&amp;(U400+70))="X",INDIRECT("H"&amp;(V400+70))="X"),1,0)+IF(AND(INDIRECT("I"&amp;(T400+70))="X",INDIRECT("I"&amp;(U400+70))="X",INDIRECT("I"&amp;(V400+70))="X"),1,0)+IF(AND(INDIRECT("J"&amp;(T400+70))="X",INDIRECT("J"&amp;(U400+70))="X",INDIRECT("J"&amp;(V400+70))="X"),1,0)+IF(AND(INDIRECT("K"&amp;(T400+70))="X",INDIRECT("K"&amp;(U400+70))="X",INDIRECT("K"&amp;(V400+70))="X"),1,0)+IF(AND(INDIRECT("L"&amp;(T400+70))="X",INDIRECT("L"&amp;(U400+70))="X",INDIRECT("L"&amp;(V400+70))="X"),1,0)+IF(AND(INDIRECT("M"&amp;(T400+70))="X",INDIRECT("M"&amp;(U400+70))="X",INDIRECT("M"&amp;(V400+70))="X"),1,0)+IF(AND(INDIRECT("N"&amp;(T400+70))="X",INDIRECT("N"&amp;(U400+70))="X",INDIRECT("N"&amp;(V400+70))="X"),1,0)+IF(AND(INDIRECT("O"&amp;(T400+70))="X",INDIRECT("O"&amp;(U400+70))="X",INDIRECT("O"&amp;(V400+70))="X"),1,0)+IF(AND(INDIRECT("P"&amp;(T400+70))="X",INDIRECT("P"&amp;(U400+70))="X",INDIRECT("P"&amp;(V400+70))="X"),1,0)+IF(AND(INDIRECT("Q"&amp;(T400+70))="X",INDIRECT("Q"&amp;(U400+70))="X",INDIRECT("Q"&amp;(V400+70))="X"),1,0)</f>
        <v>1</v>
      </c>
    </row>
    <row r="401" spans="20:23" x14ac:dyDescent="0.3">
      <c r="T401">
        <v>9</v>
      </c>
      <c r="U401">
        <v>10</v>
      </c>
      <c r="V401">
        <v>13</v>
      </c>
      <c r="W401" cm="1">
        <f t="array" aca="1" ref="W401" ca="1">IF(AND(INDIRECT("B"&amp;(T401+70))="X",INDIRECT("B"&amp;(U401+70))="X",INDIRECT("B"&amp;(V401+70))="X"),1,0)+IF(AND(INDIRECT("C"&amp;(T401+70))="X",INDIRECT("C"&amp;(U401+70))="X",INDIRECT("C"&amp;(V401+70))="X"),1,0)+IF(AND(INDIRECT("D"&amp;(T401+70))="X",INDIRECT("D"&amp;(U401+70))="X",INDIRECT("D"&amp;(V401+70))="X"),1,0)+IF(AND(INDIRECT("E"&amp;(T401+70))="X",INDIRECT("E"&amp;(U401+70))="X",INDIRECT("E"&amp;(V401+70))="X"),1,0)+IF(AND(INDIRECT("F"&amp;(T401+70))="X",INDIRECT("F"&amp;(U401+70))="X",INDIRECT("F"&amp;(V401+70))="X"),1,0)+IF(AND(INDIRECT("G"&amp;(T401+70))="X",INDIRECT("G"&amp;(U401+70))="X",INDIRECT("G"&amp;(V401+70))="X"),1,0)+IF(AND(INDIRECT("H"&amp;(T401+70))="X",INDIRECT("H"&amp;(U401+70))="X",INDIRECT("H"&amp;(V401+70))="X"),1,0)+IF(AND(INDIRECT("I"&amp;(T401+70))="X",INDIRECT("I"&amp;(U401+70))="X",INDIRECT("I"&amp;(V401+70))="X"),1,0)+IF(AND(INDIRECT("J"&amp;(T401+70))="X",INDIRECT("J"&amp;(U401+70))="X",INDIRECT("J"&amp;(V401+70))="X"),1,0)+IF(AND(INDIRECT("K"&amp;(T401+70))="X",INDIRECT("K"&amp;(U401+70))="X",INDIRECT("K"&amp;(V401+70))="X"),1,0)+IF(AND(INDIRECT("L"&amp;(T401+70))="X",INDIRECT("L"&amp;(U401+70))="X",INDIRECT("L"&amp;(V401+70))="X"),1,0)+IF(AND(INDIRECT("M"&amp;(T401+70))="X",INDIRECT("M"&amp;(U401+70))="X",INDIRECT("M"&amp;(V401+70))="X"),1,0)+IF(AND(INDIRECT("N"&amp;(T401+70))="X",INDIRECT("N"&amp;(U401+70))="X",INDIRECT("N"&amp;(V401+70))="X"),1,0)+IF(AND(INDIRECT("O"&amp;(T401+70))="X",INDIRECT("O"&amp;(U401+70))="X",INDIRECT("O"&amp;(V401+70))="X"),1,0)+IF(AND(INDIRECT("P"&amp;(T401+70))="X",INDIRECT("P"&amp;(U401+70))="X",INDIRECT("P"&amp;(V401+70))="X"),1,0)+IF(AND(INDIRECT("Q"&amp;(T401+70))="X",INDIRECT("Q"&amp;(U401+70))="X",INDIRECT("Q"&amp;(V401+70))="X"),1,0)</f>
        <v>2</v>
      </c>
    </row>
    <row r="402" spans="20:23" x14ac:dyDescent="0.3">
      <c r="T402">
        <v>9</v>
      </c>
      <c r="U402">
        <v>10</v>
      </c>
      <c r="V402">
        <v>14</v>
      </c>
      <c r="W402" cm="1">
        <f t="array" aca="1" ref="W402" ca="1">IF(AND(INDIRECT("B"&amp;(T402+70))="X",INDIRECT("B"&amp;(U402+70))="X",INDIRECT("B"&amp;(V402+70))="X"),1,0)+IF(AND(INDIRECT("C"&amp;(T402+70))="X",INDIRECT("C"&amp;(U402+70))="X",INDIRECT("C"&amp;(V402+70))="X"),1,0)+IF(AND(INDIRECT("D"&amp;(T402+70))="X",INDIRECT("D"&amp;(U402+70))="X",INDIRECT("D"&amp;(V402+70))="X"),1,0)+IF(AND(INDIRECT("E"&amp;(T402+70))="X",INDIRECT("E"&amp;(U402+70))="X",INDIRECT("E"&amp;(V402+70))="X"),1,0)+IF(AND(INDIRECT("F"&amp;(T402+70))="X",INDIRECT("F"&amp;(U402+70))="X",INDIRECT("F"&amp;(V402+70))="X"),1,0)+IF(AND(INDIRECT("G"&amp;(T402+70))="X",INDIRECT("G"&amp;(U402+70))="X",INDIRECT("G"&amp;(V402+70))="X"),1,0)+IF(AND(INDIRECT("H"&amp;(T402+70))="X",INDIRECT("H"&amp;(U402+70))="X",INDIRECT("H"&amp;(V402+70))="X"),1,0)+IF(AND(INDIRECT("I"&amp;(T402+70))="X",INDIRECT("I"&amp;(U402+70))="X",INDIRECT("I"&amp;(V402+70))="X"),1,0)+IF(AND(INDIRECT("J"&amp;(T402+70))="X",INDIRECT("J"&amp;(U402+70))="X",INDIRECT("J"&amp;(V402+70))="X"),1,0)+IF(AND(INDIRECT("K"&amp;(T402+70))="X",INDIRECT("K"&amp;(U402+70))="X",INDIRECT("K"&amp;(V402+70))="X"),1,0)+IF(AND(INDIRECT("L"&amp;(T402+70))="X",INDIRECT("L"&amp;(U402+70))="X",INDIRECT("L"&amp;(V402+70))="X"),1,0)+IF(AND(INDIRECT("M"&amp;(T402+70))="X",INDIRECT("M"&amp;(U402+70))="X",INDIRECT("M"&amp;(V402+70))="X"),1,0)+IF(AND(INDIRECT("N"&amp;(T402+70))="X",INDIRECT("N"&amp;(U402+70))="X",INDIRECT("N"&amp;(V402+70))="X"),1,0)+IF(AND(INDIRECT("O"&amp;(T402+70))="X",INDIRECT("O"&amp;(U402+70))="X",INDIRECT("O"&amp;(V402+70))="X"),1,0)+IF(AND(INDIRECT("P"&amp;(T402+70))="X",INDIRECT("P"&amp;(U402+70))="X",INDIRECT("P"&amp;(V402+70))="X"),1,0)+IF(AND(INDIRECT("Q"&amp;(T402+70))="X",INDIRECT("Q"&amp;(U402+70))="X",INDIRECT("Q"&amp;(V402+70))="X"),1,0)</f>
        <v>1</v>
      </c>
    </row>
    <row r="403" spans="20:23" x14ac:dyDescent="0.3">
      <c r="T403">
        <v>9</v>
      </c>
      <c r="U403">
        <v>11</v>
      </c>
      <c r="V403">
        <v>12</v>
      </c>
      <c r="W403" cm="1">
        <f t="array" aca="1" ref="W403" ca="1">IF(AND(INDIRECT("B"&amp;(T403+70))="X",INDIRECT("B"&amp;(U403+70))="X",INDIRECT("B"&amp;(V403+70))="X"),1,0)+IF(AND(INDIRECT("C"&amp;(T403+70))="X",INDIRECT("C"&amp;(U403+70))="X",INDIRECT("C"&amp;(V403+70))="X"),1,0)+IF(AND(INDIRECT("D"&amp;(T403+70))="X",INDIRECT("D"&amp;(U403+70))="X",INDIRECT("D"&amp;(V403+70))="X"),1,0)+IF(AND(INDIRECT("E"&amp;(T403+70))="X",INDIRECT("E"&amp;(U403+70))="X",INDIRECT("E"&amp;(V403+70))="X"),1,0)+IF(AND(INDIRECT("F"&amp;(T403+70))="X",INDIRECT("F"&amp;(U403+70))="X",INDIRECT("F"&amp;(V403+70))="X"),1,0)+IF(AND(INDIRECT("G"&amp;(T403+70))="X",INDIRECT("G"&amp;(U403+70))="X",INDIRECT("G"&amp;(V403+70))="X"),1,0)+IF(AND(INDIRECT("H"&amp;(T403+70))="X",INDIRECT("H"&amp;(U403+70))="X",INDIRECT("H"&amp;(V403+70))="X"),1,0)+IF(AND(INDIRECT("I"&amp;(T403+70))="X",INDIRECT("I"&amp;(U403+70))="X",INDIRECT("I"&amp;(V403+70))="X"),1,0)+IF(AND(INDIRECT("J"&amp;(T403+70))="X",INDIRECT("J"&amp;(U403+70))="X",INDIRECT("J"&amp;(V403+70))="X"),1,0)+IF(AND(INDIRECT("K"&amp;(T403+70))="X",INDIRECT("K"&amp;(U403+70))="X",INDIRECT("K"&amp;(V403+70))="X"),1,0)+IF(AND(INDIRECT("L"&amp;(T403+70))="X",INDIRECT("L"&amp;(U403+70))="X",INDIRECT("L"&amp;(V403+70))="X"),1,0)+IF(AND(INDIRECT("M"&amp;(T403+70))="X",INDIRECT("M"&amp;(U403+70))="X",INDIRECT("M"&amp;(V403+70))="X"),1,0)+IF(AND(INDIRECT("N"&amp;(T403+70))="X",INDIRECT("N"&amp;(U403+70))="X",INDIRECT("N"&amp;(V403+70))="X"),1,0)+IF(AND(INDIRECT("O"&amp;(T403+70))="X",INDIRECT("O"&amp;(U403+70))="X",INDIRECT("O"&amp;(V403+70))="X"),1,0)+IF(AND(INDIRECT("P"&amp;(T403+70))="X",INDIRECT("P"&amp;(U403+70))="X",INDIRECT("P"&amp;(V403+70))="X"),1,0)+IF(AND(INDIRECT("Q"&amp;(T403+70))="X",INDIRECT("Q"&amp;(U403+70))="X",INDIRECT("Q"&amp;(V403+70))="X"),1,0)</f>
        <v>1</v>
      </c>
    </row>
    <row r="404" spans="20:23" x14ac:dyDescent="0.3">
      <c r="T404">
        <v>9</v>
      </c>
      <c r="U404">
        <v>11</v>
      </c>
      <c r="V404">
        <v>13</v>
      </c>
      <c r="W404" cm="1">
        <f t="array" aca="1" ref="W404" ca="1">IF(AND(INDIRECT("B"&amp;(T404+70))="X",INDIRECT("B"&amp;(U404+70))="X",INDIRECT("B"&amp;(V404+70))="X"),1,0)+IF(AND(INDIRECT("C"&amp;(T404+70))="X",INDIRECT("C"&amp;(U404+70))="X",INDIRECT("C"&amp;(V404+70))="X"),1,0)+IF(AND(INDIRECT("D"&amp;(T404+70))="X",INDIRECT("D"&amp;(U404+70))="X",INDIRECT("D"&amp;(V404+70))="X"),1,0)+IF(AND(INDIRECT("E"&amp;(T404+70))="X",INDIRECT("E"&amp;(U404+70))="X",INDIRECT("E"&amp;(V404+70))="X"),1,0)+IF(AND(INDIRECT("F"&amp;(T404+70))="X",INDIRECT("F"&amp;(U404+70))="X",INDIRECT("F"&amp;(V404+70))="X"),1,0)+IF(AND(INDIRECT("G"&amp;(T404+70))="X",INDIRECT("G"&amp;(U404+70))="X",INDIRECT("G"&amp;(V404+70))="X"),1,0)+IF(AND(INDIRECT("H"&amp;(T404+70))="X",INDIRECT("H"&amp;(U404+70))="X",INDIRECT("H"&amp;(V404+70))="X"),1,0)+IF(AND(INDIRECT("I"&amp;(T404+70))="X",INDIRECT("I"&amp;(U404+70))="X",INDIRECT("I"&amp;(V404+70))="X"),1,0)+IF(AND(INDIRECT("J"&amp;(T404+70))="X",INDIRECT("J"&amp;(U404+70))="X",INDIRECT("J"&amp;(V404+70))="X"),1,0)+IF(AND(INDIRECT("K"&amp;(T404+70))="X",INDIRECT("K"&amp;(U404+70))="X",INDIRECT("K"&amp;(V404+70))="X"),1,0)+IF(AND(INDIRECT("L"&amp;(T404+70))="X",INDIRECT("L"&amp;(U404+70))="X",INDIRECT("L"&amp;(V404+70))="X"),1,0)+IF(AND(INDIRECT("M"&amp;(T404+70))="X",INDIRECT("M"&amp;(U404+70))="X",INDIRECT("M"&amp;(V404+70))="X"),1,0)+IF(AND(INDIRECT("N"&amp;(T404+70))="X",INDIRECT("N"&amp;(U404+70))="X",INDIRECT("N"&amp;(V404+70))="X"),1,0)+IF(AND(INDIRECT("O"&amp;(T404+70))="X",INDIRECT("O"&amp;(U404+70))="X",INDIRECT("O"&amp;(V404+70))="X"),1,0)+IF(AND(INDIRECT("P"&amp;(T404+70))="X",INDIRECT("P"&amp;(U404+70))="X",INDIRECT("P"&amp;(V404+70))="X"),1,0)+IF(AND(INDIRECT("Q"&amp;(T404+70))="X",INDIRECT("Q"&amp;(U404+70))="X",INDIRECT("Q"&amp;(V404+70))="X"),1,0)</f>
        <v>2</v>
      </c>
    </row>
    <row r="405" spans="20:23" x14ac:dyDescent="0.3">
      <c r="T405">
        <v>9</v>
      </c>
      <c r="U405">
        <v>11</v>
      </c>
      <c r="V405">
        <v>14</v>
      </c>
      <c r="W405" cm="1">
        <f t="array" aca="1" ref="W405" ca="1">IF(AND(INDIRECT("B"&amp;(T405+70))="X",INDIRECT("B"&amp;(U405+70))="X",INDIRECT("B"&amp;(V405+70))="X"),1,0)+IF(AND(INDIRECT("C"&amp;(T405+70))="X",INDIRECT("C"&amp;(U405+70))="X",INDIRECT("C"&amp;(V405+70))="X"),1,0)+IF(AND(INDIRECT("D"&amp;(T405+70))="X",INDIRECT("D"&amp;(U405+70))="X",INDIRECT("D"&amp;(V405+70))="X"),1,0)+IF(AND(INDIRECT("E"&amp;(T405+70))="X",INDIRECT("E"&amp;(U405+70))="X",INDIRECT("E"&amp;(V405+70))="X"),1,0)+IF(AND(INDIRECT("F"&amp;(T405+70))="X",INDIRECT("F"&amp;(U405+70))="X",INDIRECT("F"&amp;(V405+70))="X"),1,0)+IF(AND(INDIRECT("G"&amp;(T405+70))="X",INDIRECT("G"&amp;(U405+70))="X",INDIRECT("G"&amp;(V405+70))="X"),1,0)+IF(AND(INDIRECT("H"&amp;(T405+70))="X",INDIRECT("H"&amp;(U405+70))="X",INDIRECT("H"&amp;(V405+70))="X"),1,0)+IF(AND(INDIRECT("I"&amp;(T405+70))="X",INDIRECT("I"&amp;(U405+70))="X",INDIRECT("I"&amp;(V405+70))="X"),1,0)+IF(AND(INDIRECT("J"&amp;(T405+70))="X",INDIRECT("J"&amp;(U405+70))="X",INDIRECT("J"&amp;(V405+70))="X"),1,0)+IF(AND(INDIRECT("K"&amp;(T405+70))="X",INDIRECT("K"&amp;(U405+70))="X",INDIRECT("K"&amp;(V405+70))="X"),1,0)+IF(AND(INDIRECT("L"&amp;(T405+70))="X",INDIRECT("L"&amp;(U405+70))="X",INDIRECT("L"&amp;(V405+70))="X"),1,0)+IF(AND(INDIRECT("M"&amp;(T405+70))="X",INDIRECT("M"&amp;(U405+70))="X",INDIRECT("M"&amp;(V405+70))="X"),1,0)+IF(AND(INDIRECT("N"&amp;(T405+70))="X",INDIRECT("N"&amp;(U405+70))="X",INDIRECT("N"&amp;(V405+70))="X"),1,0)+IF(AND(INDIRECT("O"&amp;(T405+70))="X",INDIRECT("O"&amp;(U405+70))="X",INDIRECT("O"&amp;(V405+70))="X"),1,0)+IF(AND(INDIRECT("P"&amp;(T405+70))="X",INDIRECT("P"&amp;(U405+70))="X",INDIRECT("P"&amp;(V405+70))="X"),1,0)+IF(AND(INDIRECT("Q"&amp;(T405+70))="X",INDIRECT("Q"&amp;(U405+70))="X",INDIRECT("Q"&amp;(V405+70))="X"),1,0)</f>
        <v>0</v>
      </c>
    </row>
    <row r="406" spans="20:23" x14ac:dyDescent="0.3">
      <c r="T406">
        <v>9</v>
      </c>
      <c r="U406">
        <v>12</v>
      </c>
      <c r="V406">
        <v>13</v>
      </c>
      <c r="W406" cm="1">
        <f t="array" aca="1" ref="W406" ca="1">IF(AND(INDIRECT("B"&amp;(T406+70))="X",INDIRECT("B"&amp;(U406+70))="X",INDIRECT("B"&amp;(V406+70))="X"),1,0)+IF(AND(INDIRECT("C"&amp;(T406+70))="X",INDIRECT("C"&amp;(U406+70))="X",INDIRECT("C"&amp;(V406+70))="X"),1,0)+IF(AND(INDIRECT("D"&amp;(T406+70))="X",INDIRECT("D"&amp;(U406+70))="X",INDIRECT("D"&amp;(V406+70))="X"),1,0)+IF(AND(INDIRECT("E"&amp;(T406+70))="X",INDIRECT("E"&amp;(U406+70))="X",INDIRECT("E"&amp;(V406+70))="X"),1,0)+IF(AND(INDIRECT("F"&amp;(T406+70))="X",INDIRECT("F"&amp;(U406+70))="X",INDIRECT("F"&amp;(V406+70))="X"),1,0)+IF(AND(INDIRECT("G"&amp;(T406+70))="X",INDIRECT("G"&amp;(U406+70))="X",INDIRECT("G"&amp;(V406+70))="X"),1,0)+IF(AND(INDIRECT("H"&amp;(T406+70))="X",INDIRECT("H"&amp;(U406+70))="X",INDIRECT("H"&amp;(V406+70))="X"),1,0)+IF(AND(INDIRECT("I"&amp;(T406+70))="X",INDIRECT("I"&amp;(U406+70))="X",INDIRECT("I"&amp;(V406+70))="X"),1,0)+IF(AND(INDIRECT("J"&amp;(T406+70))="X",INDIRECT("J"&amp;(U406+70))="X",INDIRECT("J"&amp;(V406+70))="X"),1,0)+IF(AND(INDIRECT("K"&amp;(T406+70))="X",INDIRECT("K"&amp;(U406+70))="X",INDIRECT("K"&amp;(V406+70))="X"),1,0)+IF(AND(INDIRECT("L"&amp;(T406+70))="X",INDIRECT("L"&amp;(U406+70))="X",INDIRECT("L"&amp;(V406+70))="X"),1,0)+IF(AND(INDIRECT("M"&amp;(T406+70))="X",INDIRECT("M"&amp;(U406+70))="X",INDIRECT("M"&amp;(V406+70))="X"),1,0)+IF(AND(INDIRECT("N"&amp;(T406+70))="X",INDIRECT("N"&amp;(U406+70))="X",INDIRECT("N"&amp;(V406+70))="X"),1,0)+IF(AND(INDIRECT("O"&amp;(T406+70))="X",INDIRECT("O"&amp;(U406+70))="X",INDIRECT("O"&amp;(V406+70))="X"),1,0)+IF(AND(INDIRECT("P"&amp;(T406+70))="X",INDIRECT("P"&amp;(U406+70))="X",INDIRECT("P"&amp;(V406+70))="X"),1,0)+IF(AND(INDIRECT("Q"&amp;(T406+70))="X",INDIRECT("Q"&amp;(U406+70))="X",INDIRECT("Q"&amp;(V406+70))="X"),1,0)</f>
        <v>2</v>
      </c>
    </row>
    <row r="407" spans="20:23" x14ac:dyDescent="0.3">
      <c r="T407">
        <v>9</v>
      </c>
      <c r="U407">
        <v>12</v>
      </c>
      <c r="V407">
        <v>14</v>
      </c>
      <c r="W407" cm="1">
        <f t="array" aca="1" ref="W407" ca="1">IF(AND(INDIRECT("B"&amp;(T407+70))="X",INDIRECT("B"&amp;(U407+70))="X",INDIRECT("B"&amp;(V407+70))="X"),1,0)+IF(AND(INDIRECT("C"&amp;(T407+70))="X",INDIRECT("C"&amp;(U407+70))="X",INDIRECT("C"&amp;(V407+70))="X"),1,0)+IF(AND(INDIRECT("D"&amp;(T407+70))="X",INDIRECT("D"&amp;(U407+70))="X",INDIRECT("D"&amp;(V407+70))="X"),1,0)+IF(AND(INDIRECT("E"&amp;(T407+70))="X",INDIRECT("E"&amp;(U407+70))="X",INDIRECT("E"&amp;(V407+70))="X"),1,0)+IF(AND(INDIRECT("F"&amp;(T407+70))="X",INDIRECT("F"&amp;(U407+70))="X",INDIRECT("F"&amp;(V407+70))="X"),1,0)+IF(AND(INDIRECT("G"&amp;(T407+70))="X",INDIRECT("G"&amp;(U407+70))="X",INDIRECT("G"&amp;(V407+70))="X"),1,0)+IF(AND(INDIRECT("H"&amp;(T407+70))="X",INDIRECT("H"&amp;(U407+70))="X",INDIRECT("H"&amp;(V407+70))="X"),1,0)+IF(AND(INDIRECT("I"&amp;(T407+70))="X",INDIRECT("I"&amp;(U407+70))="X",INDIRECT("I"&amp;(V407+70))="X"),1,0)+IF(AND(INDIRECT("J"&amp;(T407+70))="X",INDIRECT("J"&amp;(U407+70))="X",INDIRECT("J"&amp;(V407+70))="X"),1,0)+IF(AND(INDIRECT("K"&amp;(T407+70))="X",INDIRECT("K"&amp;(U407+70))="X",INDIRECT("K"&amp;(V407+70))="X"),1,0)+IF(AND(INDIRECT("L"&amp;(T407+70))="X",INDIRECT("L"&amp;(U407+70))="X",INDIRECT("L"&amp;(V407+70))="X"),1,0)+IF(AND(INDIRECT("M"&amp;(T407+70))="X",INDIRECT("M"&amp;(U407+70))="X",INDIRECT("M"&amp;(V407+70))="X"),1,0)+IF(AND(INDIRECT("N"&amp;(T407+70))="X",INDIRECT("N"&amp;(U407+70))="X",INDIRECT("N"&amp;(V407+70))="X"),1,0)+IF(AND(INDIRECT("O"&amp;(T407+70))="X",INDIRECT("O"&amp;(U407+70))="X",INDIRECT("O"&amp;(V407+70))="X"),1,0)+IF(AND(INDIRECT("P"&amp;(T407+70))="X",INDIRECT("P"&amp;(U407+70))="X",INDIRECT("P"&amp;(V407+70))="X"),1,0)+IF(AND(INDIRECT("Q"&amp;(T407+70))="X",INDIRECT("Q"&amp;(U407+70))="X",INDIRECT("Q"&amp;(V407+70))="X"),1,0)</f>
        <v>1</v>
      </c>
    </row>
    <row r="408" spans="20:23" x14ac:dyDescent="0.3">
      <c r="T408">
        <v>9</v>
      </c>
      <c r="U408">
        <v>13</v>
      </c>
      <c r="V408">
        <v>14</v>
      </c>
      <c r="W408" cm="1">
        <f t="array" aca="1" ref="W408" ca="1">IF(AND(INDIRECT("B"&amp;(T408+70))="X",INDIRECT("B"&amp;(U408+70))="X",INDIRECT("B"&amp;(V408+70))="X"),1,0)+IF(AND(INDIRECT("C"&amp;(T408+70))="X",INDIRECT("C"&amp;(U408+70))="X",INDIRECT("C"&amp;(V408+70))="X"),1,0)+IF(AND(INDIRECT("D"&amp;(T408+70))="X",INDIRECT("D"&amp;(U408+70))="X",INDIRECT("D"&amp;(V408+70))="X"),1,0)+IF(AND(INDIRECT("E"&amp;(T408+70))="X",INDIRECT("E"&amp;(U408+70))="X",INDIRECT("E"&amp;(V408+70))="X"),1,0)+IF(AND(INDIRECT("F"&amp;(T408+70))="X",INDIRECT("F"&amp;(U408+70))="X",INDIRECT("F"&amp;(V408+70))="X"),1,0)+IF(AND(INDIRECT("G"&amp;(T408+70))="X",INDIRECT("G"&amp;(U408+70))="X",INDIRECT("G"&amp;(V408+70))="X"),1,0)+IF(AND(INDIRECT("H"&amp;(T408+70))="X",INDIRECT("H"&amp;(U408+70))="X",INDIRECT("H"&amp;(V408+70))="X"),1,0)+IF(AND(INDIRECT("I"&amp;(T408+70))="X",INDIRECT("I"&amp;(U408+70))="X",INDIRECT("I"&amp;(V408+70))="X"),1,0)+IF(AND(INDIRECT("J"&amp;(T408+70))="X",INDIRECT("J"&amp;(U408+70))="X",INDIRECT("J"&amp;(V408+70))="X"),1,0)+IF(AND(INDIRECT("K"&amp;(T408+70))="X",INDIRECT("K"&amp;(U408+70))="X",INDIRECT("K"&amp;(V408+70))="X"),1,0)+IF(AND(INDIRECT("L"&amp;(T408+70))="X",INDIRECT("L"&amp;(U408+70))="X",INDIRECT("L"&amp;(V408+70))="X"),1,0)+IF(AND(INDIRECT("M"&amp;(T408+70))="X",INDIRECT("M"&amp;(U408+70))="X",INDIRECT("M"&amp;(V408+70))="X"),1,0)+IF(AND(INDIRECT("N"&amp;(T408+70))="X",INDIRECT("N"&amp;(U408+70))="X",INDIRECT("N"&amp;(V408+70))="X"),1,0)+IF(AND(INDIRECT("O"&amp;(T408+70))="X",INDIRECT("O"&amp;(U408+70))="X",INDIRECT("O"&amp;(V408+70))="X"),1,0)+IF(AND(INDIRECT("P"&amp;(T408+70))="X",INDIRECT("P"&amp;(U408+70))="X",INDIRECT("P"&amp;(V408+70))="X"),1,0)+IF(AND(INDIRECT("Q"&amp;(T408+70))="X",INDIRECT("Q"&amp;(U408+70))="X",INDIRECT("Q"&amp;(V408+70))="X"),1,0)</f>
        <v>1</v>
      </c>
    </row>
    <row r="409" spans="20:23" x14ac:dyDescent="0.3">
      <c r="T409">
        <v>10</v>
      </c>
      <c r="U409">
        <v>11</v>
      </c>
      <c r="V409">
        <v>12</v>
      </c>
      <c r="W409" cm="1">
        <f t="array" aca="1" ref="W409" ca="1">IF(AND(INDIRECT("B"&amp;(T409+70))="X",INDIRECT("B"&amp;(U409+70))="X",INDIRECT("B"&amp;(V409+70))="X"),1,0)+IF(AND(INDIRECT("C"&amp;(T409+70))="X",INDIRECT("C"&amp;(U409+70))="X",INDIRECT("C"&amp;(V409+70))="X"),1,0)+IF(AND(INDIRECT("D"&amp;(T409+70))="X",INDIRECT("D"&amp;(U409+70))="X",INDIRECT("D"&amp;(V409+70))="X"),1,0)+IF(AND(INDIRECT("E"&amp;(T409+70))="X",INDIRECT("E"&amp;(U409+70))="X",INDIRECT("E"&amp;(V409+70))="X"),1,0)+IF(AND(INDIRECT("F"&amp;(T409+70))="X",INDIRECT("F"&amp;(U409+70))="X",INDIRECT("F"&amp;(V409+70))="X"),1,0)+IF(AND(INDIRECT("G"&amp;(T409+70))="X",INDIRECT("G"&amp;(U409+70))="X",INDIRECT("G"&amp;(V409+70))="X"),1,0)+IF(AND(INDIRECT("H"&amp;(T409+70))="X",INDIRECT("H"&amp;(U409+70))="X",INDIRECT("H"&amp;(V409+70))="X"),1,0)+IF(AND(INDIRECT("I"&amp;(T409+70))="X",INDIRECT("I"&amp;(U409+70))="X",INDIRECT("I"&amp;(V409+70))="X"),1,0)+IF(AND(INDIRECT("J"&amp;(T409+70))="X",INDIRECT("J"&amp;(U409+70))="X",INDIRECT("J"&amp;(V409+70))="X"),1,0)+IF(AND(INDIRECT("K"&amp;(T409+70))="X",INDIRECT("K"&amp;(U409+70))="X",INDIRECT("K"&amp;(V409+70))="X"),1,0)+IF(AND(INDIRECT("L"&amp;(T409+70))="X",INDIRECT("L"&amp;(U409+70))="X",INDIRECT("L"&amp;(V409+70))="X"),1,0)+IF(AND(INDIRECT("M"&amp;(T409+70))="X",INDIRECT("M"&amp;(U409+70))="X",INDIRECT("M"&amp;(V409+70))="X"),1,0)+IF(AND(INDIRECT("N"&amp;(T409+70))="X",INDIRECT("N"&amp;(U409+70))="X",INDIRECT("N"&amp;(V409+70))="X"),1,0)+IF(AND(INDIRECT("O"&amp;(T409+70))="X",INDIRECT("O"&amp;(U409+70))="X",INDIRECT("O"&amp;(V409+70))="X"),1,0)+IF(AND(INDIRECT("P"&amp;(T409+70))="X",INDIRECT("P"&amp;(U409+70))="X",INDIRECT("P"&amp;(V409+70))="X"),1,0)+IF(AND(INDIRECT("Q"&amp;(T409+70))="X",INDIRECT("Q"&amp;(U409+70))="X",INDIRECT("Q"&amp;(V409+70))="X"),1,0)</f>
        <v>1</v>
      </c>
    </row>
    <row r="410" spans="20:23" x14ac:dyDescent="0.3">
      <c r="T410">
        <v>10</v>
      </c>
      <c r="U410">
        <v>11</v>
      </c>
      <c r="V410">
        <v>13</v>
      </c>
      <c r="W410" cm="1">
        <f t="array" aca="1" ref="W410" ca="1">IF(AND(INDIRECT("B"&amp;(T410+70))="X",INDIRECT("B"&amp;(U410+70))="X",INDIRECT("B"&amp;(V410+70))="X"),1,0)+IF(AND(INDIRECT("C"&amp;(T410+70))="X",INDIRECT("C"&amp;(U410+70))="X",INDIRECT("C"&amp;(V410+70))="X"),1,0)+IF(AND(INDIRECT("D"&amp;(T410+70))="X",INDIRECT("D"&amp;(U410+70))="X",INDIRECT("D"&amp;(V410+70))="X"),1,0)+IF(AND(INDIRECT("E"&amp;(T410+70))="X",INDIRECT("E"&amp;(U410+70))="X",INDIRECT("E"&amp;(V410+70))="X"),1,0)+IF(AND(INDIRECT("F"&amp;(T410+70))="X",INDIRECT("F"&amp;(U410+70))="X",INDIRECT("F"&amp;(V410+70))="X"),1,0)+IF(AND(INDIRECT("G"&amp;(T410+70))="X",INDIRECT("G"&amp;(U410+70))="X",INDIRECT("G"&amp;(V410+70))="X"),1,0)+IF(AND(INDIRECT("H"&amp;(T410+70))="X",INDIRECT("H"&amp;(U410+70))="X",INDIRECT("H"&amp;(V410+70))="X"),1,0)+IF(AND(INDIRECT("I"&amp;(T410+70))="X",INDIRECT("I"&amp;(U410+70))="X",INDIRECT("I"&amp;(V410+70))="X"),1,0)+IF(AND(INDIRECT("J"&amp;(T410+70))="X",INDIRECT("J"&amp;(U410+70))="X",INDIRECT("J"&amp;(V410+70))="X"),1,0)+IF(AND(INDIRECT("K"&amp;(T410+70))="X",INDIRECT("K"&amp;(U410+70))="X",INDIRECT("K"&amp;(V410+70))="X"),1,0)+IF(AND(INDIRECT("L"&amp;(T410+70))="X",INDIRECT("L"&amp;(U410+70))="X",INDIRECT("L"&amp;(V410+70))="X"),1,0)+IF(AND(INDIRECT("M"&amp;(T410+70))="X",INDIRECT("M"&amp;(U410+70))="X",INDIRECT("M"&amp;(V410+70))="X"),1,0)+IF(AND(INDIRECT("N"&amp;(T410+70))="X",INDIRECT("N"&amp;(U410+70))="X",INDIRECT("N"&amp;(V410+70))="X"),1,0)+IF(AND(INDIRECT("O"&amp;(T410+70))="X",INDIRECT("O"&amp;(U410+70))="X",INDIRECT("O"&amp;(V410+70))="X"),1,0)+IF(AND(INDIRECT("P"&amp;(T410+70))="X",INDIRECT("P"&amp;(U410+70))="X",INDIRECT("P"&amp;(V410+70))="X"),1,0)+IF(AND(INDIRECT("Q"&amp;(T410+70))="X",INDIRECT("Q"&amp;(U410+70))="X",INDIRECT("Q"&amp;(V410+70))="X"),1,0)</f>
        <v>1</v>
      </c>
    </row>
    <row r="411" spans="20:23" x14ac:dyDescent="0.3">
      <c r="T411">
        <v>10</v>
      </c>
      <c r="U411">
        <v>11</v>
      </c>
      <c r="V411">
        <v>14</v>
      </c>
      <c r="W411" cm="1">
        <f t="array" aca="1" ref="W411" ca="1">IF(AND(INDIRECT("B"&amp;(T411+70))="X",INDIRECT("B"&amp;(U411+70))="X",INDIRECT("B"&amp;(V411+70))="X"),1,0)+IF(AND(INDIRECT("C"&amp;(T411+70))="X",INDIRECT("C"&amp;(U411+70))="X",INDIRECT("C"&amp;(V411+70))="X"),1,0)+IF(AND(INDIRECT("D"&amp;(T411+70))="X",INDIRECT("D"&amp;(U411+70))="X",INDIRECT("D"&amp;(V411+70))="X"),1,0)+IF(AND(INDIRECT("E"&amp;(T411+70))="X",INDIRECT("E"&amp;(U411+70))="X",INDIRECT("E"&amp;(V411+70))="X"),1,0)+IF(AND(INDIRECT("F"&amp;(T411+70))="X",INDIRECT("F"&amp;(U411+70))="X",INDIRECT("F"&amp;(V411+70))="X"),1,0)+IF(AND(INDIRECT("G"&amp;(T411+70))="X",INDIRECT("G"&amp;(U411+70))="X",INDIRECT("G"&amp;(V411+70))="X"),1,0)+IF(AND(INDIRECT("H"&amp;(T411+70))="X",INDIRECT("H"&amp;(U411+70))="X",INDIRECT("H"&amp;(V411+70))="X"),1,0)+IF(AND(INDIRECT("I"&amp;(T411+70))="X",INDIRECT("I"&amp;(U411+70))="X",INDIRECT("I"&amp;(V411+70))="X"),1,0)+IF(AND(INDIRECT("J"&amp;(T411+70))="X",INDIRECT("J"&amp;(U411+70))="X",INDIRECT("J"&amp;(V411+70))="X"),1,0)+IF(AND(INDIRECT("K"&amp;(T411+70))="X",INDIRECT("K"&amp;(U411+70))="X",INDIRECT("K"&amp;(V411+70))="X"),1,0)+IF(AND(INDIRECT("L"&amp;(T411+70))="X",INDIRECT("L"&amp;(U411+70))="X",INDIRECT("L"&amp;(V411+70))="X"),1,0)+IF(AND(INDIRECT("M"&amp;(T411+70))="X",INDIRECT("M"&amp;(U411+70))="X",INDIRECT("M"&amp;(V411+70))="X"),1,0)+IF(AND(INDIRECT("N"&amp;(T411+70))="X",INDIRECT("N"&amp;(U411+70))="X",INDIRECT("N"&amp;(V411+70))="X"),1,0)+IF(AND(INDIRECT("O"&amp;(T411+70))="X",INDIRECT("O"&amp;(U411+70))="X",INDIRECT("O"&amp;(V411+70))="X"),1,0)+IF(AND(INDIRECT("P"&amp;(T411+70))="X",INDIRECT("P"&amp;(U411+70))="X",INDIRECT("P"&amp;(V411+70))="X"),1,0)+IF(AND(INDIRECT("Q"&amp;(T411+70))="X",INDIRECT("Q"&amp;(U411+70))="X",INDIRECT("Q"&amp;(V411+70))="X"),1,0)</f>
        <v>1</v>
      </c>
    </row>
    <row r="412" spans="20:23" x14ac:dyDescent="0.3">
      <c r="T412">
        <v>10</v>
      </c>
      <c r="U412">
        <v>12</v>
      </c>
      <c r="V412">
        <v>13</v>
      </c>
      <c r="W412" cm="1">
        <f t="array" aca="1" ref="W412" ca="1">IF(AND(INDIRECT("B"&amp;(T412+70))="X",INDIRECT("B"&amp;(U412+70))="X",INDIRECT("B"&amp;(V412+70))="X"),1,0)+IF(AND(INDIRECT("C"&amp;(T412+70))="X",INDIRECT("C"&amp;(U412+70))="X",INDIRECT("C"&amp;(V412+70))="X"),1,0)+IF(AND(INDIRECT("D"&amp;(T412+70))="X",INDIRECT("D"&amp;(U412+70))="X",INDIRECT("D"&amp;(V412+70))="X"),1,0)+IF(AND(INDIRECT("E"&amp;(T412+70))="X",INDIRECT("E"&amp;(U412+70))="X",INDIRECT("E"&amp;(V412+70))="X"),1,0)+IF(AND(INDIRECT("F"&amp;(T412+70))="X",INDIRECT("F"&amp;(U412+70))="X",INDIRECT("F"&amp;(V412+70))="X"),1,0)+IF(AND(INDIRECT("G"&amp;(T412+70))="X",INDIRECT("G"&amp;(U412+70))="X",INDIRECT("G"&amp;(V412+70))="X"),1,0)+IF(AND(INDIRECT("H"&amp;(T412+70))="X",INDIRECT("H"&amp;(U412+70))="X",INDIRECT("H"&amp;(V412+70))="X"),1,0)+IF(AND(INDIRECT("I"&amp;(T412+70))="X",INDIRECT("I"&amp;(U412+70))="X",INDIRECT("I"&amp;(V412+70))="X"),1,0)+IF(AND(INDIRECT("J"&amp;(T412+70))="X",INDIRECT("J"&amp;(U412+70))="X",INDIRECT("J"&amp;(V412+70))="X"),1,0)+IF(AND(INDIRECT("K"&amp;(T412+70))="X",INDIRECT("K"&amp;(U412+70))="X",INDIRECT("K"&amp;(V412+70))="X"),1,0)+IF(AND(INDIRECT("L"&amp;(T412+70))="X",INDIRECT("L"&amp;(U412+70))="X",INDIRECT("L"&amp;(V412+70))="X"),1,0)+IF(AND(INDIRECT("M"&amp;(T412+70))="X",INDIRECT("M"&amp;(U412+70))="X",INDIRECT("M"&amp;(V412+70))="X"),1,0)+IF(AND(INDIRECT("N"&amp;(T412+70))="X",INDIRECT("N"&amp;(U412+70))="X",INDIRECT("N"&amp;(V412+70))="X"),1,0)+IF(AND(INDIRECT("O"&amp;(T412+70))="X",INDIRECT("O"&amp;(U412+70))="X",INDIRECT("O"&amp;(V412+70))="X"),1,0)+IF(AND(INDIRECT("P"&amp;(T412+70))="X",INDIRECT("P"&amp;(U412+70))="X",INDIRECT("P"&amp;(V412+70))="X"),1,0)+IF(AND(INDIRECT("Q"&amp;(T412+70))="X",INDIRECT("Q"&amp;(U412+70))="X",INDIRECT("Q"&amp;(V412+70))="X"),1,0)</f>
        <v>1</v>
      </c>
    </row>
    <row r="413" spans="20:23" x14ac:dyDescent="0.3">
      <c r="T413">
        <v>10</v>
      </c>
      <c r="U413">
        <v>12</v>
      </c>
      <c r="V413">
        <v>14</v>
      </c>
      <c r="W413" cm="1">
        <f t="array" aca="1" ref="W413" ca="1">IF(AND(INDIRECT("B"&amp;(T413+70))="X",INDIRECT("B"&amp;(U413+70))="X",INDIRECT("B"&amp;(V413+70))="X"),1,0)+IF(AND(INDIRECT("C"&amp;(T413+70))="X",INDIRECT("C"&amp;(U413+70))="X",INDIRECT("C"&amp;(V413+70))="X"),1,0)+IF(AND(INDIRECT("D"&amp;(T413+70))="X",INDIRECT("D"&amp;(U413+70))="X",INDIRECT("D"&amp;(V413+70))="X"),1,0)+IF(AND(INDIRECT("E"&amp;(T413+70))="X",INDIRECT("E"&amp;(U413+70))="X",INDIRECT("E"&amp;(V413+70))="X"),1,0)+IF(AND(INDIRECT("F"&amp;(T413+70))="X",INDIRECT("F"&amp;(U413+70))="X",INDIRECT("F"&amp;(V413+70))="X"),1,0)+IF(AND(INDIRECT("G"&amp;(T413+70))="X",INDIRECT("G"&amp;(U413+70))="X",INDIRECT("G"&amp;(V413+70))="X"),1,0)+IF(AND(INDIRECT("H"&amp;(T413+70))="X",INDIRECT("H"&amp;(U413+70))="X",INDIRECT("H"&amp;(V413+70))="X"),1,0)+IF(AND(INDIRECT("I"&amp;(T413+70))="X",INDIRECT("I"&amp;(U413+70))="X",INDIRECT("I"&amp;(V413+70))="X"),1,0)+IF(AND(INDIRECT("J"&amp;(T413+70))="X",INDIRECT("J"&amp;(U413+70))="X",INDIRECT("J"&amp;(V413+70))="X"),1,0)+IF(AND(INDIRECT("K"&amp;(T413+70))="X",INDIRECT("K"&amp;(U413+70))="X",INDIRECT("K"&amp;(V413+70))="X"),1,0)+IF(AND(INDIRECT("L"&amp;(T413+70))="X",INDIRECT("L"&amp;(U413+70))="X",INDIRECT("L"&amp;(V413+70))="X"),1,0)+IF(AND(INDIRECT("M"&amp;(T413+70))="X",INDIRECT("M"&amp;(U413+70))="X",INDIRECT("M"&amp;(V413+70))="X"),1,0)+IF(AND(INDIRECT("N"&amp;(T413+70))="X",INDIRECT("N"&amp;(U413+70))="X",INDIRECT("N"&amp;(V413+70))="X"),1,0)+IF(AND(INDIRECT("O"&amp;(T413+70))="X",INDIRECT("O"&amp;(U413+70))="X",INDIRECT("O"&amp;(V413+70))="X"),1,0)+IF(AND(INDIRECT("P"&amp;(T413+70))="X",INDIRECT("P"&amp;(U413+70))="X",INDIRECT("P"&amp;(V413+70))="X"),1,0)+IF(AND(INDIRECT("Q"&amp;(T413+70))="X",INDIRECT("Q"&amp;(U413+70))="X",INDIRECT("Q"&amp;(V413+70))="X"),1,0)</f>
        <v>2</v>
      </c>
    </row>
    <row r="414" spans="20:23" x14ac:dyDescent="0.3">
      <c r="T414">
        <v>10</v>
      </c>
      <c r="U414">
        <v>13</v>
      </c>
      <c r="V414">
        <v>14</v>
      </c>
      <c r="W414" cm="1">
        <f t="array" aca="1" ref="W414" ca="1">IF(AND(INDIRECT("B"&amp;(T414+70))="X",INDIRECT("B"&amp;(U414+70))="X",INDIRECT("B"&amp;(V414+70))="X"),1,0)+IF(AND(INDIRECT("C"&amp;(T414+70))="X",INDIRECT("C"&amp;(U414+70))="X",INDIRECT("C"&amp;(V414+70))="X"),1,0)+IF(AND(INDIRECT("D"&amp;(T414+70))="X",INDIRECT("D"&amp;(U414+70))="X",INDIRECT("D"&amp;(V414+70))="X"),1,0)+IF(AND(INDIRECT("E"&amp;(T414+70))="X",INDIRECT("E"&amp;(U414+70))="X",INDIRECT("E"&amp;(V414+70))="X"),1,0)+IF(AND(INDIRECT("F"&amp;(T414+70))="X",INDIRECT("F"&amp;(U414+70))="X",INDIRECT("F"&amp;(V414+70))="X"),1,0)+IF(AND(INDIRECT("G"&amp;(T414+70))="X",INDIRECT("G"&amp;(U414+70))="X",INDIRECT("G"&amp;(V414+70))="X"),1,0)+IF(AND(INDIRECT("H"&amp;(T414+70))="X",INDIRECT("H"&amp;(U414+70))="X",INDIRECT("H"&amp;(V414+70))="X"),1,0)+IF(AND(INDIRECT("I"&amp;(T414+70))="X",INDIRECT("I"&amp;(U414+70))="X",INDIRECT("I"&amp;(V414+70))="X"),1,0)+IF(AND(INDIRECT("J"&amp;(T414+70))="X",INDIRECT("J"&amp;(U414+70))="X",INDIRECT("J"&amp;(V414+70))="X"),1,0)+IF(AND(INDIRECT("K"&amp;(T414+70))="X",INDIRECT("K"&amp;(U414+70))="X",INDIRECT("K"&amp;(V414+70))="X"),1,0)+IF(AND(INDIRECT("L"&amp;(T414+70))="X",INDIRECT("L"&amp;(U414+70))="X",INDIRECT("L"&amp;(V414+70))="X"),1,0)+IF(AND(INDIRECT("M"&amp;(T414+70))="X",INDIRECT("M"&amp;(U414+70))="X",INDIRECT("M"&amp;(V414+70))="X"),1,0)+IF(AND(INDIRECT("N"&amp;(T414+70))="X",INDIRECT("N"&amp;(U414+70))="X",INDIRECT("N"&amp;(V414+70))="X"),1,0)+IF(AND(INDIRECT("O"&amp;(T414+70))="X",INDIRECT("O"&amp;(U414+70))="X",INDIRECT("O"&amp;(V414+70))="X"),1,0)+IF(AND(INDIRECT("P"&amp;(T414+70))="X",INDIRECT("P"&amp;(U414+70))="X",INDIRECT("P"&amp;(V414+70))="X"),1,0)+IF(AND(INDIRECT("Q"&amp;(T414+70))="X",INDIRECT("Q"&amp;(U414+70))="X",INDIRECT("Q"&amp;(V414+70))="X"),1,0)</f>
        <v>1</v>
      </c>
    </row>
    <row r="415" spans="20:23" x14ac:dyDescent="0.3">
      <c r="T415">
        <v>11</v>
      </c>
      <c r="U415">
        <v>12</v>
      </c>
      <c r="V415">
        <v>13</v>
      </c>
      <c r="W415" cm="1">
        <f t="array" aca="1" ref="W415" ca="1">IF(AND(INDIRECT("B"&amp;(T415+70))="X",INDIRECT("B"&amp;(U415+70))="X",INDIRECT("B"&amp;(V415+70))="X"),1,0)+IF(AND(INDIRECT("C"&amp;(T415+70))="X",INDIRECT("C"&amp;(U415+70))="X",INDIRECT("C"&amp;(V415+70))="X"),1,0)+IF(AND(INDIRECT("D"&amp;(T415+70))="X",INDIRECT("D"&amp;(U415+70))="X",INDIRECT("D"&amp;(V415+70))="X"),1,0)+IF(AND(INDIRECT("E"&amp;(T415+70))="X",INDIRECT("E"&amp;(U415+70))="X",INDIRECT("E"&amp;(V415+70))="X"),1,0)+IF(AND(INDIRECT("F"&amp;(T415+70))="X",INDIRECT("F"&amp;(U415+70))="X",INDIRECT("F"&amp;(V415+70))="X"),1,0)+IF(AND(INDIRECT("G"&amp;(T415+70))="X",INDIRECT("G"&amp;(U415+70))="X",INDIRECT("G"&amp;(V415+70))="X"),1,0)+IF(AND(INDIRECT("H"&amp;(T415+70))="X",INDIRECT("H"&amp;(U415+70))="X",INDIRECT("H"&amp;(V415+70))="X"),1,0)+IF(AND(INDIRECT("I"&amp;(T415+70))="X",INDIRECT("I"&amp;(U415+70))="X",INDIRECT("I"&amp;(V415+70))="X"),1,0)+IF(AND(INDIRECT("J"&amp;(T415+70))="X",INDIRECT("J"&amp;(U415+70))="X",INDIRECT("J"&amp;(V415+70))="X"),1,0)+IF(AND(INDIRECT("K"&amp;(T415+70))="X",INDIRECT("K"&amp;(U415+70))="X",INDIRECT("K"&amp;(V415+70))="X"),1,0)+IF(AND(INDIRECT("L"&amp;(T415+70))="X",INDIRECT("L"&amp;(U415+70))="X",INDIRECT("L"&amp;(V415+70))="X"),1,0)+IF(AND(INDIRECT("M"&amp;(T415+70))="X",INDIRECT("M"&amp;(U415+70))="X",INDIRECT("M"&amp;(V415+70))="X"),1,0)+IF(AND(INDIRECT("N"&amp;(T415+70))="X",INDIRECT("N"&amp;(U415+70))="X",INDIRECT("N"&amp;(V415+70))="X"),1,0)+IF(AND(INDIRECT("O"&amp;(T415+70))="X",INDIRECT("O"&amp;(U415+70))="X",INDIRECT("O"&amp;(V415+70))="X"),1,0)+IF(AND(INDIRECT("P"&amp;(T415+70))="X",INDIRECT("P"&amp;(U415+70))="X",INDIRECT("P"&amp;(V415+70))="X"),1,0)+IF(AND(INDIRECT("Q"&amp;(T415+70))="X",INDIRECT("Q"&amp;(U415+70))="X",INDIRECT("Q"&amp;(V415+70))="X"),1,0)</f>
        <v>1</v>
      </c>
    </row>
    <row r="416" spans="20:23" x14ac:dyDescent="0.3">
      <c r="T416">
        <v>11</v>
      </c>
      <c r="U416">
        <v>12</v>
      </c>
      <c r="V416">
        <v>14</v>
      </c>
      <c r="W416" cm="1">
        <f t="array" aca="1" ref="W416" ca="1">IF(AND(INDIRECT("B"&amp;(T416+70))="X",INDIRECT("B"&amp;(U416+70))="X",INDIRECT("B"&amp;(V416+70))="X"),1,0)+IF(AND(INDIRECT("C"&amp;(T416+70))="X",INDIRECT("C"&amp;(U416+70))="X",INDIRECT("C"&amp;(V416+70))="X"),1,0)+IF(AND(INDIRECT("D"&amp;(T416+70))="X",INDIRECT("D"&amp;(U416+70))="X",INDIRECT("D"&amp;(V416+70))="X"),1,0)+IF(AND(INDIRECT("E"&amp;(T416+70))="X",INDIRECT("E"&amp;(U416+70))="X",INDIRECT("E"&amp;(V416+70))="X"),1,0)+IF(AND(INDIRECT("F"&amp;(T416+70))="X",INDIRECT("F"&amp;(U416+70))="X",INDIRECT("F"&amp;(V416+70))="X"),1,0)+IF(AND(INDIRECT("G"&amp;(T416+70))="X",INDIRECT("G"&amp;(U416+70))="X",INDIRECT("G"&amp;(V416+70))="X"),1,0)+IF(AND(INDIRECT("H"&amp;(T416+70))="X",INDIRECT("H"&amp;(U416+70))="X",INDIRECT("H"&amp;(V416+70))="X"),1,0)+IF(AND(INDIRECT("I"&amp;(T416+70))="X",INDIRECT("I"&amp;(U416+70))="X",INDIRECT("I"&amp;(V416+70))="X"),1,0)+IF(AND(INDIRECT("J"&amp;(T416+70))="X",INDIRECT("J"&amp;(U416+70))="X",INDIRECT("J"&amp;(V416+70))="X"),1,0)+IF(AND(INDIRECT("K"&amp;(T416+70))="X",INDIRECT("K"&amp;(U416+70))="X",INDIRECT("K"&amp;(V416+70))="X"),1,0)+IF(AND(INDIRECT("L"&amp;(T416+70))="X",INDIRECT("L"&amp;(U416+70))="X",INDIRECT("L"&amp;(V416+70))="X"),1,0)+IF(AND(INDIRECT("M"&amp;(T416+70))="X",INDIRECT("M"&amp;(U416+70))="X",INDIRECT("M"&amp;(V416+70))="X"),1,0)+IF(AND(INDIRECT("N"&amp;(T416+70))="X",INDIRECT("N"&amp;(U416+70))="X",INDIRECT("N"&amp;(V416+70))="X"),1,0)+IF(AND(INDIRECT("O"&amp;(T416+70))="X",INDIRECT("O"&amp;(U416+70))="X",INDIRECT("O"&amp;(V416+70))="X"),1,0)+IF(AND(INDIRECT("P"&amp;(T416+70))="X",INDIRECT("P"&amp;(U416+70))="X",INDIRECT("P"&amp;(V416+70))="X"),1,0)+IF(AND(INDIRECT("Q"&amp;(T416+70))="X",INDIRECT("Q"&amp;(U416+70))="X",INDIRECT("Q"&amp;(V416+70))="X"),1,0)</f>
        <v>1</v>
      </c>
    </row>
    <row r="417" spans="20:23" x14ac:dyDescent="0.3">
      <c r="T417">
        <v>11</v>
      </c>
      <c r="U417">
        <v>13</v>
      </c>
      <c r="V417">
        <v>14</v>
      </c>
      <c r="W417" cm="1">
        <f t="array" aca="1" ref="W417" ca="1">IF(AND(INDIRECT("B"&amp;(T417+70))="X",INDIRECT("B"&amp;(U417+70))="X",INDIRECT("B"&amp;(V417+70))="X"),1,0)+IF(AND(INDIRECT("C"&amp;(T417+70))="X",INDIRECT("C"&amp;(U417+70))="X",INDIRECT("C"&amp;(V417+70))="X"),1,0)+IF(AND(INDIRECT("D"&amp;(T417+70))="X",INDIRECT("D"&amp;(U417+70))="X",INDIRECT("D"&amp;(V417+70))="X"),1,0)+IF(AND(INDIRECT("E"&amp;(T417+70))="X",INDIRECT("E"&amp;(U417+70))="X",INDIRECT("E"&amp;(V417+70))="X"),1,0)+IF(AND(INDIRECT("F"&amp;(T417+70))="X",INDIRECT("F"&amp;(U417+70))="X",INDIRECT("F"&amp;(V417+70))="X"),1,0)+IF(AND(INDIRECT("G"&amp;(T417+70))="X",INDIRECT("G"&amp;(U417+70))="X",INDIRECT("G"&amp;(V417+70))="X"),1,0)+IF(AND(INDIRECT("H"&amp;(T417+70))="X",INDIRECT("H"&amp;(U417+70))="X",INDIRECT("H"&amp;(V417+70))="X"),1,0)+IF(AND(INDIRECT("I"&amp;(T417+70))="X",INDIRECT("I"&amp;(U417+70))="X",INDIRECT("I"&amp;(V417+70))="X"),1,0)+IF(AND(INDIRECT("J"&amp;(T417+70))="X",INDIRECT("J"&amp;(U417+70))="X",INDIRECT("J"&amp;(V417+70))="X"),1,0)+IF(AND(INDIRECT("K"&amp;(T417+70))="X",INDIRECT("K"&amp;(U417+70))="X",INDIRECT("K"&amp;(V417+70))="X"),1,0)+IF(AND(INDIRECT("L"&amp;(T417+70))="X",INDIRECT("L"&amp;(U417+70))="X",INDIRECT("L"&amp;(V417+70))="X"),1,0)+IF(AND(INDIRECT("M"&amp;(T417+70))="X",INDIRECT("M"&amp;(U417+70))="X",INDIRECT("M"&amp;(V417+70))="X"),1,0)+IF(AND(INDIRECT("N"&amp;(T417+70))="X",INDIRECT("N"&amp;(U417+70))="X",INDIRECT("N"&amp;(V417+70))="X"),1,0)+IF(AND(INDIRECT("O"&amp;(T417+70))="X",INDIRECT("O"&amp;(U417+70))="X",INDIRECT("O"&amp;(V417+70))="X"),1,0)+IF(AND(INDIRECT("P"&amp;(T417+70))="X",INDIRECT("P"&amp;(U417+70))="X",INDIRECT("P"&amp;(V417+70))="X"),1,0)+IF(AND(INDIRECT("Q"&amp;(T417+70))="X",INDIRECT("Q"&amp;(U417+70))="X",INDIRECT("Q"&amp;(V417+70))="X"),1,0)</f>
        <v>0</v>
      </c>
    </row>
    <row r="418" spans="20:23" x14ac:dyDescent="0.3">
      <c r="T418">
        <v>12</v>
      </c>
      <c r="U418">
        <v>13</v>
      </c>
      <c r="V418">
        <v>14</v>
      </c>
      <c r="W418" cm="1">
        <f t="array" aca="1" ref="W418" ca="1">IF(AND(INDIRECT("B"&amp;(T418+70))="X",INDIRECT("B"&amp;(U418+70))="X",INDIRECT("B"&amp;(V418+70))="X"),1,0)+IF(AND(INDIRECT("C"&amp;(T418+70))="X",INDIRECT("C"&amp;(U418+70))="X",INDIRECT("C"&amp;(V418+70))="X"),1,0)+IF(AND(INDIRECT("D"&amp;(T418+70))="X",INDIRECT("D"&amp;(U418+70))="X",INDIRECT("D"&amp;(V418+70))="X"),1,0)+IF(AND(INDIRECT("E"&amp;(T418+70))="X",INDIRECT("E"&amp;(U418+70))="X",INDIRECT("E"&amp;(V418+70))="X"),1,0)+IF(AND(INDIRECT("F"&amp;(T418+70))="X",INDIRECT("F"&amp;(U418+70))="X",INDIRECT("F"&amp;(V418+70))="X"),1,0)+IF(AND(INDIRECT("G"&amp;(T418+70))="X",INDIRECT("G"&amp;(U418+70))="X",INDIRECT("G"&amp;(V418+70))="X"),1,0)+IF(AND(INDIRECT("H"&amp;(T418+70))="X",INDIRECT("H"&amp;(U418+70))="X",INDIRECT("H"&amp;(V418+70))="X"),1,0)+IF(AND(INDIRECT("I"&amp;(T418+70))="X",INDIRECT("I"&amp;(U418+70))="X",INDIRECT("I"&amp;(V418+70))="X"),1,0)+IF(AND(INDIRECT("J"&amp;(T418+70))="X",INDIRECT("J"&amp;(U418+70))="X",INDIRECT("J"&amp;(V418+70))="X"),1,0)+IF(AND(INDIRECT("K"&amp;(T418+70))="X",INDIRECT("K"&amp;(U418+70))="X",INDIRECT("K"&amp;(V418+70))="X"),1,0)+IF(AND(INDIRECT("L"&amp;(T418+70))="X",INDIRECT("L"&amp;(U418+70))="X",INDIRECT("L"&amp;(V418+70))="X"),1,0)+IF(AND(INDIRECT("M"&amp;(T418+70))="X",INDIRECT("M"&amp;(U418+70))="X",INDIRECT("M"&amp;(V418+70))="X"),1,0)+IF(AND(INDIRECT("N"&amp;(T418+70))="X",INDIRECT("N"&amp;(U418+70))="X",INDIRECT("N"&amp;(V418+70))="X"),1,0)+IF(AND(INDIRECT("O"&amp;(T418+70))="X",INDIRECT("O"&amp;(U418+70))="X",INDIRECT("O"&amp;(V418+70))="X"),1,0)+IF(AND(INDIRECT("P"&amp;(T418+70))="X",INDIRECT("P"&amp;(U418+70))="X",INDIRECT("P"&amp;(V418+70))="X"),1,0)+IF(AND(INDIRECT("Q"&amp;(T418+70))="X",INDIRECT("Q"&amp;(U418+70))="X",INDIRECT("Q"&amp;(V418+70))="X"),1,0)</f>
        <v>1</v>
      </c>
    </row>
  </sheetData>
  <conditionalFormatting sqref="B19:O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41"/>
  <sheetViews>
    <sheetView topLeftCell="A10" zoomScale="80" zoomScaleNormal="80" workbookViewId="0">
      <selection activeCell="A23" sqref="A23:XFD23"/>
    </sheetView>
  </sheetViews>
  <sheetFormatPr baseColWidth="10" defaultRowHeight="14.4" x14ac:dyDescent="0.3"/>
  <cols>
    <col min="1" max="1" width="3.33203125" bestFit="1" customWidth="1"/>
    <col min="2" max="15" width="6.6640625" bestFit="1" customWidth="1"/>
    <col min="16" max="18" width="5.88671875" bestFit="1" customWidth="1"/>
    <col min="20" max="27" width="5.33203125" bestFit="1" customWidth="1"/>
    <col min="28" max="33" width="4.33203125" bestFit="1" customWidth="1"/>
    <col min="34" max="41" width="4.33203125" customWidth="1"/>
    <col min="42" max="42" width="4.33203125" bestFit="1" customWidth="1"/>
    <col min="43" max="43" width="8.33203125" customWidth="1"/>
    <col min="44" max="44" width="3" bestFit="1" customWidth="1"/>
    <col min="45" max="45" width="4.44140625" customWidth="1"/>
  </cols>
  <sheetData>
    <row r="1" spans="2:45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 t="s">
        <v>33</v>
      </c>
      <c r="Q1" t="s">
        <v>34</v>
      </c>
      <c r="R1" t="s">
        <v>35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R1">
        <v>0</v>
      </c>
      <c r="AS1">
        <f t="shared" ref="AS1:AS15" si="0">COUNTIFS(T$2:AP$24,AR1)</f>
        <v>0</v>
      </c>
    </row>
    <row r="2" spans="2:45" x14ac:dyDescent="0.3">
      <c r="B2" t="s">
        <v>63</v>
      </c>
      <c r="C2" t="s">
        <v>27</v>
      </c>
      <c r="D2" t="s">
        <v>28</v>
      </c>
      <c r="E2" t="s">
        <v>28</v>
      </c>
      <c r="F2" t="s">
        <v>28</v>
      </c>
      <c r="G2" t="s">
        <v>29</v>
      </c>
      <c r="H2" t="s">
        <v>28</v>
      </c>
      <c r="I2" t="s">
        <v>27</v>
      </c>
      <c r="J2" t="s">
        <v>27</v>
      </c>
      <c r="K2" t="s">
        <v>28</v>
      </c>
      <c r="L2" t="s">
        <v>27</v>
      </c>
      <c r="M2" t="s">
        <v>29</v>
      </c>
      <c r="N2" t="s">
        <v>29</v>
      </c>
      <c r="O2" t="s">
        <v>31</v>
      </c>
      <c r="P2">
        <f t="shared" ref="P2:P25" si="1">COUNTIF(B2:O2,A$26)+COUNTIF(B2:O2,A$36)+COUNTIF(B2:O2,A$39)</f>
        <v>5</v>
      </c>
      <c r="Q2">
        <f t="shared" ref="Q2:Q25" si="2">COUNTIF(B2:O2,A$27)+COUNTIF(B2:O2,A$37)+COUNTIF(B2:O2,A$40)</f>
        <v>5</v>
      </c>
      <c r="R2">
        <f t="shared" ref="R2:R25" si="3">COUNTIF(B2:O2,A$28)+COUNTIF(B2:O2,A$38)+COUNTIF(B2:O2,A$41)</f>
        <v>4</v>
      </c>
      <c r="S2">
        <f>SUM(P2:R2)</f>
        <v>14</v>
      </c>
      <c r="T2">
        <f t="shared" ref="T2:T24" si="4">SUMPRODUCT(--(B2:O2=B$25:O$25))</f>
        <v>1</v>
      </c>
      <c r="U2">
        <f>SUMPRODUCT(--(B2:O2=B$24:O$24))</f>
        <v>2</v>
      </c>
      <c r="V2">
        <f>SUMPRODUCT(--(B2:O2=B$23:O$23))</f>
        <v>1</v>
      </c>
      <c r="W2">
        <f>SUMPRODUCT(--(B2:O2=B$22:O$22))</f>
        <v>5</v>
      </c>
      <c r="X2">
        <f>SUMPRODUCT(--(B2:O2=B$21:O$21))</f>
        <v>3</v>
      </c>
      <c r="Y2">
        <f>SUMPRODUCT(--(B2:O2=B$20:O$20))</f>
        <v>4</v>
      </c>
      <c r="Z2">
        <f>SUMPRODUCT(--(B2:O2=B$19:O$19))</f>
        <v>3</v>
      </c>
      <c r="AA2">
        <f>SUMPRODUCT(--(B2:O2=B$18:O$18))</f>
        <v>4</v>
      </c>
      <c r="AB2">
        <f>SUMPRODUCT(--(B2:O2=B$17:O$17))</f>
        <v>4</v>
      </c>
      <c r="AC2">
        <f>SUMPRODUCT(--(B2:O2=B$16:O$16))</f>
        <v>6</v>
      </c>
      <c r="AD2">
        <f>SUMPRODUCT(--(B2:O2=B$15:O$15))</f>
        <v>5</v>
      </c>
      <c r="AE2">
        <f>SUMPRODUCT(--(B2:O2=B$14:O$14))</f>
        <v>5</v>
      </c>
      <c r="AF2">
        <f>SUMPRODUCT(--(B2:O2=B$13:O$13))</f>
        <v>4</v>
      </c>
      <c r="AG2">
        <f>SUMPRODUCT(--(B2:O2=B$12:O$12))</f>
        <v>3</v>
      </c>
      <c r="AH2">
        <f>SUMPRODUCT(--(B2:O2=B$11:O$11))</f>
        <v>9</v>
      </c>
      <c r="AI2">
        <f>SUMPRODUCT(--(B2:O2=B$10:O$10))</f>
        <v>2</v>
      </c>
      <c r="AJ2">
        <f>SUMPRODUCT(--(B2:O2=B$9:O$9))</f>
        <v>5</v>
      </c>
      <c r="AK2">
        <f>SUMPRODUCT(--(B2:O2=B$8:O$8))</f>
        <v>5</v>
      </c>
      <c r="AL2">
        <f>SUMPRODUCT(--(B2:O2=B$7:O$7))</f>
        <v>7</v>
      </c>
      <c r="AM2">
        <f>SUMPRODUCT(--(B2:O2=B$6:O$6))</f>
        <v>4</v>
      </c>
      <c r="AN2">
        <f>SUMPRODUCT(--(B2:O2=B$5:O$5))</f>
        <v>6</v>
      </c>
      <c r="AO2">
        <f>SUMPRODUCT(--(B2:O2=B$4:O$4))</f>
        <v>7</v>
      </c>
      <c r="AP2">
        <f>SUMPRODUCT(--(B2:O2=B$3:O$3))</f>
        <v>5</v>
      </c>
      <c r="AR2">
        <v>1</v>
      </c>
      <c r="AS2">
        <f t="shared" si="0"/>
        <v>2</v>
      </c>
    </row>
    <row r="3" spans="2:45" x14ac:dyDescent="0.3">
      <c r="B3" t="s">
        <v>63</v>
      </c>
      <c r="C3" t="s">
        <v>28</v>
      </c>
      <c r="D3" t="s">
        <v>28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27</v>
      </c>
      <c r="K3" t="s">
        <v>29</v>
      </c>
      <c r="L3" t="s">
        <v>28</v>
      </c>
      <c r="M3" t="s">
        <v>28</v>
      </c>
      <c r="N3" t="s">
        <v>27</v>
      </c>
      <c r="O3" t="s">
        <v>30</v>
      </c>
      <c r="P3">
        <f t="shared" si="1"/>
        <v>9</v>
      </c>
      <c r="Q3">
        <f t="shared" si="2"/>
        <v>4</v>
      </c>
      <c r="R3">
        <f t="shared" si="3"/>
        <v>1</v>
      </c>
      <c r="S3">
        <f t="shared" ref="S3:S25" si="5">SUM(P3:R3)</f>
        <v>14</v>
      </c>
      <c r="T3">
        <f t="shared" si="4"/>
        <v>3</v>
      </c>
      <c r="U3">
        <f t="shared" ref="U3:U23" si="6">SUMPRODUCT(--(B3:O3=B$24:O$24))</f>
        <v>6</v>
      </c>
      <c r="V3">
        <f t="shared" ref="V3:V22" si="7">SUMPRODUCT(--(B3:O3=B$23:O$23))</f>
        <v>7</v>
      </c>
      <c r="W3">
        <f t="shared" ref="W3:W21" si="8">SUMPRODUCT(--(B3:O3=B$22:O$22))</f>
        <v>7</v>
      </c>
      <c r="X3">
        <f t="shared" ref="X3:X20" si="9">SUMPRODUCT(--(B3:O3=B$21:O$21))</f>
        <v>8</v>
      </c>
      <c r="Y3">
        <f t="shared" ref="Y3:Y19" si="10">SUMPRODUCT(--(B3:O3=B$20:O$20))</f>
        <v>5</v>
      </c>
      <c r="Z3">
        <f t="shared" ref="Z3:Z18" si="11">SUMPRODUCT(--(B3:O3=B$19:O$19))</f>
        <v>7</v>
      </c>
      <c r="AA3">
        <f t="shared" ref="AA3:AA17" si="12">SUMPRODUCT(--(B3:O3=B$18:O$18))</f>
        <v>4</v>
      </c>
      <c r="AB3">
        <f t="shared" ref="AB3:AB16" si="13">SUMPRODUCT(--(B3:O3=B$17:O$17))</f>
        <v>7</v>
      </c>
      <c r="AC3">
        <f t="shared" ref="AC3:AC15" si="14">SUMPRODUCT(--(B3:O3=B$16:O$16))</f>
        <v>5</v>
      </c>
      <c r="AD3">
        <f t="shared" ref="AD3:AD14" si="15">SUMPRODUCT(--(B3:O3=B$15:O$15))</f>
        <v>7</v>
      </c>
      <c r="AE3">
        <f t="shared" ref="AE3:AE13" si="16">SUMPRODUCT(--(B3:O3=B$14:O$14))</f>
        <v>6</v>
      </c>
      <c r="AF3">
        <f t="shared" ref="AF3:AF12" si="17">SUMPRODUCT(--(B3:O3=B$13:O$13))</f>
        <v>8</v>
      </c>
      <c r="AG3">
        <f t="shared" ref="AG3:AG11" si="18">SUMPRODUCT(--(B3:O3=B$12:O$12))</f>
        <v>8</v>
      </c>
      <c r="AH3">
        <f t="shared" ref="AH3:AH10" si="19">SUMPRODUCT(--(B3:O3=B$11:O$11))</f>
        <v>7</v>
      </c>
      <c r="AI3">
        <f t="shared" ref="AI3:AI9" si="20">SUMPRODUCT(--(B3:O3=B$10:O$10))</f>
        <v>6</v>
      </c>
      <c r="AJ3">
        <f t="shared" ref="AJ3:AJ8" si="21">SUMPRODUCT(--(B3:O3=B$9:O$9))</f>
        <v>8</v>
      </c>
      <c r="AK3">
        <f t="shared" ref="AK3:AK7" si="22">SUMPRODUCT(--(B3:O3=B$8:O$8))</f>
        <v>6</v>
      </c>
      <c r="AL3">
        <f t="shared" ref="AL3:AL6" si="23">SUMPRODUCT(--(B3:O3=B$7:O$7))</f>
        <v>3</v>
      </c>
      <c r="AM3">
        <f t="shared" ref="AM3:AM5" si="24">SUMPRODUCT(--(B3:O3=B$6:O$6))</f>
        <v>6</v>
      </c>
      <c r="AN3">
        <f t="shared" ref="AN3:AN4" si="25">SUMPRODUCT(--(B3:O3=B$5:O$5))</f>
        <v>6</v>
      </c>
      <c r="AO3">
        <f>SUMPRODUCT(--(B3:O3=B$4:O$4))</f>
        <v>5</v>
      </c>
      <c r="AR3">
        <v>2</v>
      </c>
      <c r="AS3">
        <f t="shared" si="0"/>
        <v>12</v>
      </c>
    </row>
    <row r="4" spans="2:45" x14ac:dyDescent="0.3">
      <c r="B4" t="s">
        <v>64</v>
      </c>
      <c r="C4" t="s">
        <v>28</v>
      </c>
      <c r="D4" t="s">
        <v>27</v>
      </c>
      <c r="E4" t="s">
        <v>28</v>
      </c>
      <c r="F4" t="s">
        <v>28</v>
      </c>
      <c r="G4" t="s">
        <v>27</v>
      </c>
      <c r="H4" t="s">
        <v>28</v>
      </c>
      <c r="I4" t="s">
        <v>27</v>
      </c>
      <c r="J4" t="s">
        <v>27</v>
      </c>
      <c r="K4" t="s">
        <v>27</v>
      </c>
      <c r="L4" t="s">
        <v>28</v>
      </c>
      <c r="M4" t="s">
        <v>27</v>
      </c>
      <c r="N4" t="s">
        <v>29</v>
      </c>
      <c r="O4" t="s">
        <v>31</v>
      </c>
      <c r="P4">
        <f t="shared" si="1"/>
        <v>6</v>
      </c>
      <c r="Q4">
        <f t="shared" si="2"/>
        <v>6</v>
      </c>
      <c r="R4">
        <f t="shared" si="3"/>
        <v>2</v>
      </c>
      <c r="S4">
        <f t="shared" si="5"/>
        <v>14</v>
      </c>
      <c r="T4">
        <f t="shared" si="4"/>
        <v>4</v>
      </c>
      <c r="U4">
        <f t="shared" si="6"/>
        <v>3</v>
      </c>
      <c r="V4">
        <f t="shared" si="7"/>
        <v>4</v>
      </c>
      <c r="W4">
        <f t="shared" si="8"/>
        <v>4</v>
      </c>
      <c r="X4">
        <f t="shared" si="9"/>
        <v>4</v>
      </c>
      <c r="Y4">
        <f t="shared" si="10"/>
        <v>4</v>
      </c>
      <c r="Z4">
        <f t="shared" si="11"/>
        <v>5</v>
      </c>
      <c r="AA4">
        <f t="shared" si="12"/>
        <v>4</v>
      </c>
      <c r="AB4">
        <f t="shared" si="13"/>
        <v>7</v>
      </c>
      <c r="AC4">
        <f t="shared" si="14"/>
        <v>8</v>
      </c>
      <c r="AD4">
        <f t="shared" si="15"/>
        <v>5</v>
      </c>
      <c r="AE4">
        <f t="shared" si="16"/>
        <v>5</v>
      </c>
      <c r="AF4">
        <f t="shared" si="17"/>
        <v>6</v>
      </c>
      <c r="AG4">
        <f t="shared" si="18"/>
        <v>4</v>
      </c>
      <c r="AH4">
        <f t="shared" si="19"/>
        <v>6</v>
      </c>
      <c r="AI4">
        <f t="shared" si="20"/>
        <v>4</v>
      </c>
      <c r="AJ4">
        <f t="shared" si="21"/>
        <v>5</v>
      </c>
      <c r="AK4">
        <f t="shared" si="22"/>
        <v>6</v>
      </c>
      <c r="AL4">
        <f t="shared" si="23"/>
        <v>6</v>
      </c>
      <c r="AM4">
        <f t="shared" si="24"/>
        <v>2</v>
      </c>
      <c r="AN4">
        <f t="shared" si="25"/>
        <v>5</v>
      </c>
      <c r="AR4">
        <v>3</v>
      </c>
      <c r="AS4">
        <f t="shared" si="0"/>
        <v>21</v>
      </c>
    </row>
    <row r="5" spans="2:45" x14ac:dyDescent="0.3">
      <c r="B5" t="s">
        <v>65</v>
      </c>
      <c r="C5" t="s">
        <v>27</v>
      </c>
      <c r="D5" t="s">
        <v>28</v>
      </c>
      <c r="E5" t="s">
        <v>28</v>
      </c>
      <c r="F5" t="s">
        <v>29</v>
      </c>
      <c r="G5" t="s">
        <v>28</v>
      </c>
      <c r="H5" t="s">
        <v>28</v>
      </c>
      <c r="I5" t="s">
        <v>29</v>
      </c>
      <c r="J5" t="s">
        <v>27</v>
      </c>
      <c r="K5" t="s">
        <v>28</v>
      </c>
      <c r="L5" t="s">
        <v>28</v>
      </c>
      <c r="M5" t="s">
        <v>27</v>
      </c>
      <c r="N5" t="s">
        <v>28</v>
      </c>
      <c r="O5" t="s">
        <v>30</v>
      </c>
      <c r="P5">
        <f t="shared" si="1"/>
        <v>8</v>
      </c>
      <c r="Q5">
        <f t="shared" si="2"/>
        <v>3</v>
      </c>
      <c r="R5">
        <f t="shared" si="3"/>
        <v>3</v>
      </c>
      <c r="S5">
        <f t="shared" si="5"/>
        <v>14</v>
      </c>
      <c r="T5">
        <f t="shared" si="4"/>
        <v>4</v>
      </c>
      <c r="U5">
        <f t="shared" si="6"/>
        <v>5</v>
      </c>
      <c r="V5">
        <f t="shared" si="7"/>
        <v>7</v>
      </c>
      <c r="W5">
        <f t="shared" si="8"/>
        <v>8</v>
      </c>
      <c r="X5">
        <f t="shared" si="9"/>
        <v>7</v>
      </c>
      <c r="Y5">
        <f t="shared" si="10"/>
        <v>6</v>
      </c>
      <c r="Z5">
        <f t="shared" si="11"/>
        <v>6</v>
      </c>
      <c r="AA5">
        <f t="shared" si="12"/>
        <v>5</v>
      </c>
      <c r="AB5">
        <f t="shared" si="13"/>
        <v>8</v>
      </c>
      <c r="AC5">
        <f t="shared" si="14"/>
        <v>4</v>
      </c>
      <c r="AD5">
        <f t="shared" si="15"/>
        <v>4</v>
      </c>
      <c r="AE5">
        <f t="shared" si="16"/>
        <v>7</v>
      </c>
      <c r="AF5">
        <f t="shared" si="17"/>
        <v>5</v>
      </c>
      <c r="AG5">
        <f t="shared" si="18"/>
        <v>6</v>
      </c>
      <c r="AH5">
        <f t="shared" si="19"/>
        <v>6</v>
      </c>
      <c r="AI5">
        <f t="shared" si="20"/>
        <v>4</v>
      </c>
      <c r="AJ5">
        <f t="shared" si="21"/>
        <v>4</v>
      </c>
      <c r="AK5">
        <f t="shared" si="22"/>
        <v>3</v>
      </c>
      <c r="AL5">
        <f t="shared" si="23"/>
        <v>4</v>
      </c>
      <c r="AM5">
        <f t="shared" si="24"/>
        <v>7</v>
      </c>
      <c r="AR5">
        <v>4</v>
      </c>
      <c r="AS5">
        <f t="shared" si="0"/>
        <v>50</v>
      </c>
    </row>
    <row r="6" spans="2:45" x14ac:dyDescent="0.3">
      <c r="B6" t="s">
        <v>63</v>
      </c>
      <c r="C6" t="s">
        <v>28</v>
      </c>
      <c r="D6" t="s">
        <v>28</v>
      </c>
      <c r="E6" t="s">
        <v>28</v>
      </c>
      <c r="F6" t="s">
        <v>29</v>
      </c>
      <c r="G6" t="s">
        <v>28</v>
      </c>
      <c r="H6" t="s">
        <v>27</v>
      </c>
      <c r="I6" t="s">
        <v>29</v>
      </c>
      <c r="J6" t="s">
        <v>28</v>
      </c>
      <c r="K6" t="s">
        <v>29</v>
      </c>
      <c r="L6" t="s">
        <v>29</v>
      </c>
      <c r="M6" t="s">
        <v>29</v>
      </c>
      <c r="N6" t="s">
        <v>28</v>
      </c>
      <c r="O6" t="s">
        <v>30</v>
      </c>
      <c r="P6">
        <f t="shared" si="1"/>
        <v>7</v>
      </c>
      <c r="Q6">
        <f t="shared" si="2"/>
        <v>2</v>
      </c>
      <c r="R6">
        <f t="shared" si="3"/>
        <v>5</v>
      </c>
      <c r="S6">
        <f t="shared" si="5"/>
        <v>14</v>
      </c>
      <c r="T6">
        <f t="shared" si="4"/>
        <v>5</v>
      </c>
      <c r="U6">
        <f t="shared" si="6"/>
        <v>8</v>
      </c>
      <c r="V6">
        <f t="shared" si="7"/>
        <v>8</v>
      </c>
      <c r="W6">
        <f t="shared" si="8"/>
        <v>7</v>
      </c>
      <c r="X6">
        <f t="shared" si="9"/>
        <v>6</v>
      </c>
      <c r="Y6">
        <f t="shared" si="10"/>
        <v>8</v>
      </c>
      <c r="Z6">
        <f t="shared" si="11"/>
        <v>5</v>
      </c>
      <c r="AA6">
        <f t="shared" si="12"/>
        <v>8</v>
      </c>
      <c r="AB6">
        <f t="shared" si="13"/>
        <v>6</v>
      </c>
      <c r="AC6">
        <f t="shared" si="14"/>
        <v>3</v>
      </c>
      <c r="AD6">
        <f t="shared" si="15"/>
        <v>6</v>
      </c>
      <c r="AE6">
        <f t="shared" si="16"/>
        <v>5</v>
      </c>
      <c r="AF6">
        <f t="shared" si="17"/>
        <v>4</v>
      </c>
      <c r="AG6">
        <f t="shared" si="18"/>
        <v>5</v>
      </c>
      <c r="AH6">
        <f t="shared" si="19"/>
        <v>3</v>
      </c>
      <c r="AI6">
        <f t="shared" si="20"/>
        <v>5</v>
      </c>
      <c r="AJ6">
        <f t="shared" si="21"/>
        <v>6</v>
      </c>
      <c r="AK6">
        <f t="shared" si="22"/>
        <v>7</v>
      </c>
      <c r="AL6">
        <f t="shared" si="23"/>
        <v>3</v>
      </c>
      <c r="AR6">
        <v>5</v>
      </c>
      <c r="AS6">
        <f t="shared" si="0"/>
        <v>66</v>
      </c>
    </row>
    <row r="7" spans="2:45" x14ac:dyDescent="0.3">
      <c r="B7" t="s">
        <v>63</v>
      </c>
      <c r="C7" t="s">
        <v>27</v>
      </c>
      <c r="D7" t="s">
        <v>27</v>
      </c>
      <c r="E7" t="s">
        <v>29</v>
      </c>
      <c r="F7" t="s">
        <v>28</v>
      </c>
      <c r="G7" t="s">
        <v>27</v>
      </c>
      <c r="H7" t="s">
        <v>29</v>
      </c>
      <c r="I7" t="s">
        <v>27</v>
      </c>
      <c r="J7" t="s">
        <v>29</v>
      </c>
      <c r="K7" t="s">
        <v>28</v>
      </c>
      <c r="L7" t="s">
        <v>28</v>
      </c>
      <c r="M7" t="s">
        <v>29</v>
      </c>
      <c r="N7" t="s">
        <v>28</v>
      </c>
      <c r="O7" t="s">
        <v>31</v>
      </c>
      <c r="P7">
        <f t="shared" si="1"/>
        <v>4</v>
      </c>
      <c r="Q7">
        <f t="shared" si="2"/>
        <v>5</v>
      </c>
      <c r="R7">
        <f t="shared" si="3"/>
        <v>5</v>
      </c>
      <c r="S7">
        <f t="shared" si="5"/>
        <v>14</v>
      </c>
      <c r="T7">
        <f t="shared" si="4"/>
        <v>4</v>
      </c>
      <c r="U7">
        <f t="shared" si="6"/>
        <v>3</v>
      </c>
      <c r="V7">
        <f t="shared" si="7"/>
        <v>3</v>
      </c>
      <c r="W7">
        <f t="shared" si="8"/>
        <v>2</v>
      </c>
      <c r="X7">
        <f t="shared" si="9"/>
        <v>6</v>
      </c>
      <c r="Y7">
        <f t="shared" si="10"/>
        <v>3</v>
      </c>
      <c r="Z7">
        <f t="shared" si="11"/>
        <v>4</v>
      </c>
      <c r="AA7">
        <f t="shared" si="12"/>
        <v>3</v>
      </c>
      <c r="AB7">
        <f t="shared" si="13"/>
        <v>2</v>
      </c>
      <c r="AC7">
        <f t="shared" si="14"/>
        <v>5</v>
      </c>
      <c r="AD7">
        <f t="shared" si="15"/>
        <v>6</v>
      </c>
      <c r="AE7">
        <f t="shared" si="16"/>
        <v>7</v>
      </c>
      <c r="AF7">
        <f t="shared" si="17"/>
        <v>5</v>
      </c>
      <c r="AG7">
        <f t="shared" si="18"/>
        <v>2</v>
      </c>
      <c r="AH7">
        <f t="shared" si="19"/>
        <v>5</v>
      </c>
      <c r="AI7">
        <f t="shared" si="20"/>
        <v>2</v>
      </c>
      <c r="AJ7">
        <f t="shared" si="21"/>
        <v>2</v>
      </c>
      <c r="AK7">
        <f t="shared" si="22"/>
        <v>7</v>
      </c>
      <c r="AR7">
        <v>6</v>
      </c>
      <c r="AS7">
        <f t="shared" si="0"/>
        <v>47</v>
      </c>
    </row>
    <row r="8" spans="2:45" x14ac:dyDescent="0.3">
      <c r="B8" t="s">
        <v>63</v>
      </c>
      <c r="C8" t="s">
        <v>28</v>
      </c>
      <c r="D8" t="s">
        <v>27</v>
      </c>
      <c r="E8" t="s">
        <v>28</v>
      </c>
      <c r="F8" t="s">
        <v>28</v>
      </c>
      <c r="G8" t="s">
        <v>27</v>
      </c>
      <c r="H8" t="s">
        <v>28</v>
      </c>
      <c r="I8" t="s">
        <v>28</v>
      </c>
      <c r="J8" t="s">
        <v>29</v>
      </c>
      <c r="K8" t="s">
        <v>29</v>
      </c>
      <c r="L8" t="s">
        <v>29</v>
      </c>
      <c r="M8" t="s">
        <v>29</v>
      </c>
      <c r="N8" t="s">
        <v>28</v>
      </c>
      <c r="O8" t="s">
        <v>32</v>
      </c>
      <c r="P8">
        <f t="shared" si="1"/>
        <v>6</v>
      </c>
      <c r="Q8">
        <f t="shared" si="2"/>
        <v>4</v>
      </c>
      <c r="R8">
        <f t="shared" si="3"/>
        <v>4</v>
      </c>
      <c r="S8">
        <f t="shared" si="5"/>
        <v>14</v>
      </c>
      <c r="T8">
        <f t="shared" si="4"/>
        <v>5</v>
      </c>
      <c r="U8">
        <f t="shared" si="6"/>
        <v>3</v>
      </c>
      <c r="V8">
        <f t="shared" si="7"/>
        <v>2</v>
      </c>
      <c r="W8">
        <f t="shared" si="8"/>
        <v>3</v>
      </c>
      <c r="X8">
        <f t="shared" si="9"/>
        <v>4</v>
      </c>
      <c r="Y8">
        <f t="shared" si="10"/>
        <v>4</v>
      </c>
      <c r="Z8">
        <f t="shared" si="11"/>
        <v>8</v>
      </c>
      <c r="AA8">
        <f t="shared" si="12"/>
        <v>5</v>
      </c>
      <c r="AB8">
        <f t="shared" si="13"/>
        <v>5</v>
      </c>
      <c r="AC8">
        <f t="shared" si="14"/>
        <v>4</v>
      </c>
      <c r="AD8">
        <f t="shared" si="15"/>
        <v>6</v>
      </c>
      <c r="AE8">
        <f t="shared" si="16"/>
        <v>4</v>
      </c>
      <c r="AF8">
        <f t="shared" si="17"/>
        <v>4</v>
      </c>
      <c r="AG8">
        <f t="shared" si="18"/>
        <v>5</v>
      </c>
      <c r="AH8">
        <f t="shared" si="19"/>
        <v>2</v>
      </c>
      <c r="AI8">
        <f t="shared" si="20"/>
        <v>5</v>
      </c>
      <c r="AJ8">
        <f t="shared" si="21"/>
        <v>4</v>
      </c>
      <c r="AR8">
        <v>7</v>
      </c>
      <c r="AS8">
        <f t="shared" si="0"/>
        <v>39</v>
      </c>
    </row>
    <row r="9" spans="2:45" x14ac:dyDescent="0.3">
      <c r="B9" t="s">
        <v>63</v>
      </c>
      <c r="C9" t="s">
        <v>28</v>
      </c>
      <c r="D9" t="s">
        <v>29</v>
      </c>
      <c r="E9" t="s">
        <v>27</v>
      </c>
      <c r="F9" t="s">
        <v>28</v>
      </c>
      <c r="G9" t="s">
        <v>28</v>
      </c>
      <c r="H9" t="s">
        <v>28</v>
      </c>
      <c r="I9" t="s">
        <v>29</v>
      </c>
      <c r="J9" t="s">
        <v>28</v>
      </c>
      <c r="K9" t="s">
        <v>27</v>
      </c>
      <c r="L9" t="s">
        <v>27</v>
      </c>
      <c r="M9" t="s">
        <v>28</v>
      </c>
      <c r="N9" t="s">
        <v>29</v>
      </c>
      <c r="O9" t="s">
        <v>30</v>
      </c>
      <c r="P9">
        <f t="shared" si="1"/>
        <v>7</v>
      </c>
      <c r="Q9">
        <f t="shared" si="2"/>
        <v>4</v>
      </c>
      <c r="R9">
        <f t="shared" si="3"/>
        <v>3</v>
      </c>
      <c r="S9">
        <f t="shared" si="5"/>
        <v>14</v>
      </c>
      <c r="T9">
        <f t="shared" si="4"/>
        <v>3</v>
      </c>
      <c r="U9">
        <f t="shared" si="6"/>
        <v>5</v>
      </c>
      <c r="V9">
        <f t="shared" si="7"/>
        <v>8</v>
      </c>
      <c r="W9">
        <f t="shared" si="8"/>
        <v>5</v>
      </c>
      <c r="X9">
        <f t="shared" si="9"/>
        <v>7</v>
      </c>
      <c r="Y9">
        <f t="shared" si="10"/>
        <v>4</v>
      </c>
      <c r="Z9">
        <f t="shared" si="11"/>
        <v>5</v>
      </c>
      <c r="AA9">
        <f t="shared" si="12"/>
        <v>5</v>
      </c>
      <c r="AB9">
        <f t="shared" si="13"/>
        <v>7</v>
      </c>
      <c r="AC9">
        <f t="shared" si="14"/>
        <v>5</v>
      </c>
      <c r="AD9">
        <f t="shared" si="15"/>
        <v>5</v>
      </c>
      <c r="AE9">
        <f t="shared" si="16"/>
        <v>4</v>
      </c>
      <c r="AF9">
        <f t="shared" si="17"/>
        <v>5</v>
      </c>
      <c r="AG9">
        <f t="shared" si="18"/>
        <v>4</v>
      </c>
      <c r="AH9">
        <f t="shared" si="19"/>
        <v>5</v>
      </c>
      <c r="AI9">
        <f t="shared" si="20"/>
        <v>6</v>
      </c>
      <c r="AR9">
        <v>8</v>
      </c>
      <c r="AS9">
        <f t="shared" si="0"/>
        <v>25</v>
      </c>
    </row>
    <row r="10" spans="2:45" x14ac:dyDescent="0.3">
      <c r="B10" t="s">
        <v>64</v>
      </c>
      <c r="C10" t="s">
        <v>29</v>
      </c>
      <c r="D10" t="s">
        <v>28</v>
      </c>
      <c r="E10" t="s">
        <v>27</v>
      </c>
      <c r="F10" t="s">
        <v>27</v>
      </c>
      <c r="G10" t="s">
        <v>27</v>
      </c>
      <c r="H10" t="s">
        <v>28</v>
      </c>
      <c r="I10" t="s">
        <v>28</v>
      </c>
      <c r="J10" t="s">
        <v>28</v>
      </c>
      <c r="K10" t="s">
        <v>27</v>
      </c>
      <c r="L10" t="s">
        <v>29</v>
      </c>
      <c r="M10" t="s">
        <v>28</v>
      </c>
      <c r="N10" t="s">
        <v>28</v>
      </c>
      <c r="O10" t="s">
        <v>30</v>
      </c>
      <c r="P10">
        <f t="shared" si="1"/>
        <v>8</v>
      </c>
      <c r="Q10">
        <f t="shared" si="2"/>
        <v>4</v>
      </c>
      <c r="R10">
        <f t="shared" si="3"/>
        <v>2</v>
      </c>
      <c r="S10">
        <f t="shared" si="5"/>
        <v>14</v>
      </c>
      <c r="T10">
        <f t="shared" si="4"/>
        <v>3</v>
      </c>
      <c r="U10">
        <f t="shared" si="6"/>
        <v>7</v>
      </c>
      <c r="V10">
        <f t="shared" si="7"/>
        <v>8</v>
      </c>
      <c r="W10">
        <f t="shared" si="8"/>
        <v>6</v>
      </c>
      <c r="X10">
        <f t="shared" si="9"/>
        <v>6</v>
      </c>
      <c r="Y10">
        <f t="shared" si="10"/>
        <v>5</v>
      </c>
      <c r="Z10">
        <f t="shared" si="11"/>
        <v>6</v>
      </c>
      <c r="AA10">
        <f t="shared" si="12"/>
        <v>4</v>
      </c>
      <c r="AB10">
        <f t="shared" si="13"/>
        <v>4</v>
      </c>
      <c r="AC10">
        <f t="shared" si="14"/>
        <v>8</v>
      </c>
      <c r="AD10">
        <f t="shared" si="15"/>
        <v>4</v>
      </c>
      <c r="AE10">
        <f t="shared" si="16"/>
        <v>7</v>
      </c>
      <c r="AF10">
        <f t="shared" si="17"/>
        <v>7</v>
      </c>
      <c r="AG10">
        <f t="shared" si="18"/>
        <v>9</v>
      </c>
      <c r="AH10">
        <f t="shared" si="19"/>
        <v>5</v>
      </c>
      <c r="AR10">
        <v>9</v>
      </c>
      <c r="AS10">
        <f t="shared" si="0"/>
        <v>10</v>
      </c>
    </row>
    <row r="11" spans="2:45" x14ac:dyDescent="0.3">
      <c r="B11" t="s">
        <v>63</v>
      </c>
      <c r="C11" t="s">
        <v>29</v>
      </c>
      <c r="D11" t="s">
        <v>28</v>
      </c>
      <c r="E11" t="s">
        <v>27</v>
      </c>
      <c r="F11" t="s">
        <v>29</v>
      </c>
      <c r="G11" t="s">
        <v>29</v>
      </c>
      <c r="H11" t="s">
        <v>28</v>
      </c>
      <c r="I11" t="s">
        <v>27</v>
      </c>
      <c r="J11" t="s">
        <v>27</v>
      </c>
      <c r="K11" t="s">
        <v>28</v>
      </c>
      <c r="L11" t="s">
        <v>28</v>
      </c>
      <c r="M11" t="s">
        <v>28</v>
      </c>
      <c r="N11" t="s">
        <v>29</v>
      </c>
      <c r="O11" t="s">
        <v>31</v>
      </c>
      <c r="P11">
        <f t="shared" si="1"/>
        <v>5</v>
      </c>
      <c r="Q11">
        <f t="shared" si="2"/>
        <v>4</v>
      </c>
      <c r="R11">
        <f t="shared" si="3"/>
        <v>5</v>
      </c>
      <c r="S11">
        <f t="shared" si="5"/>
        <v>14</v>
      </c>
      <c r="T11">
        <f t="shared" si="4"/>
        <v>2</v>
      </c>
      <c r="U11">
        <f t="shared" si="6"/>
        <v>4</v>
      </c>
      <c r="V11">
        <f t="shared" si="7"/>
        <v>5</v>
      </c>
      <c r="W11">
        <f t="shared" si="8"/>
        <v>6</v>
      </c>
      <c r="X11">
        <f t="shared" si="9"/>
        <v>5</v>
      </c>
      <c r="Y11">
        <f t="shared" si="10"/>
        <v>5</v>
      </c>
      <c r="Z11">
        <f t="shared" si="11"/>
        <v>4</v>
      </c>
      <c r="AA11">
        <f t="shared" si="12"/>
        <v>4</v>
      </c>
      <c r="AB11">
        <f t="shared" si="13"/>
        <v>3</v>
      </c>
      <c r="AC11">
        <f t="shared" si="14"/>
        <v>6</v>
      </c>
      <c r="AD11">
        <f t="shared" si="15"/>
        <v>6</v>
      </c>
      <c r="AE11">
        <f t="shared" si="16"/>
        <v>6</v>
      </c>
      <c r="AF11">
        <f t="shared" si="17"/>
        <v>5</v>
      </c>
      <c r="AG11">
        <f t="shared" si="18"/>
        <v>5</v>
      </c>
      <c r="AR11">
        <v>10</v>
      </c>
      <c r="AS11">
        <f t="shared" si="0"/>
        <v>2</v>
      </c>
    </row>
    <row r="12" spans="2:45" x14ac:dyDescent="0.3">
      <c r="B12" t="s">
        <v>65</v>
      </c>
      <c r="C12" t="s">
        <v>29</v>
      </c>
      <c r="D12" t="s">
        <v>28</v>
      </c>
      <c r="E12" t="s">
        <v>28</v>
      </c>
      <c r="F12" t="s">
        <v>27</v>
      </c>
      <c r="G12" t="s">
        <v>27</v>
      </c>
      <c r="H12" t="s">
        <v>28</v>
      </c>
      <c r="I12" t="s">
        <v>28</v>
      </c>
      <c r="J12" t="s">
        <v>28</v>
      </c>
      <c r="K12" t="s">
        <v>29</v>
      </c>
      <c r="L12" t="s">
        <v>28</v>
      </c>
      <c r="M12" t="s">
        <v>28</v>
      </c>
      <c r="N12" t="s">
        <v>27</v>
      </c>
      <c r="O12" t="s">
        <v>30</v>
      </c>
      <c r="P12">
        <f t="shared" si="1"/>
        <v>8</v>
      </c>
      <c r="Q12">
        <f t="shared" si="2"/>
        <v>3</v>
      </c>
      <c r="R12">
        <f t="shared" si="3"/>
        <v>3</v>
      </c>
      <c r="S12">
        <f t="shared" si="5"/>
        <v>14</v>
      </c>
      <c r="T12">
        <f t="shared" si="4"/>
        <v>3</v>
      </c>
      <c r="U12">
        <f t="shared" si="6"/>
        <v>7</v>
      </c>
      <c r="V12">
        <f t="shared" si="7"/>
        <v>5</v>
      </c>
      <c r="W12">
        <f t="shared" si="8"/>
        <v>9</v>
      </c>
      <c r="X12">
        <f t="shared" si="9"/>
        <v>4</v>
      </c>
      <c r="Y12">
        <f t="shared" si="10"/>
        <v>8</v>
      </c>
      <c r="Z12">
        <f t="shared" si="11"/>
        <v>9</v>
      </c>
      <c r="AA12">
        <f t="shared" si="12"/>
        <v>6</v>
      </c>
      <c r="AB12">
        <f t="shared" si="13"/>
        <v>7</v>
      </c>
      <c r="AC12">
        <f t="shared" si="14"/>
        <v>5</v>
      </c>
      <c r="AD12">
        <f t="shared" si="15"/>
        <v>4</v>
      </c>
      <c r="AE12">
        <f t="shared" si="16"/>
        <v>5</v>
      </c>
      <c r="AF12">
        <f t="shared" si="17"/>
        <v>5</v>
      </c>
      <c r="AR12">
        <v>11</v>
      </c>
      <c r="AS12">
        <f t="shared" si="0"/>
        <v>2</v>
      </c>
    </row>
    <row r="13" spans="2:45" x14ac:dyDescent="0.3">
      <c r="B13" t="s">
        <v>64</v>
      </c>
      <c r="C13" t="s">
        <v>28</v>
      </c>
      <c r="D13" t="s">
        <v>28</v>
      </c>
      <c r="E13" t="s">
        <v>29</v>
      </c>
      <c r="F13" t="s">
        <v>28</v>
      </c>
      <c r="G13" t="s">
        <v>29</v>
      </c>
      <c r="H13" t="s">
        <v>29</v>
      </c>
      <c r="I13" t="s">
        <v>28</v>
      </c>
      <c r="J13" t="s">
        <v>27</v>
      </c>
      <c r="K13" t="s">
        <v>27</v>
      </c>
      <c r="L13" t="s">
        <v>28</v>
      </c>
      <c r="M13" t="s">
        <v>28</v>
      </c>
      <c r="N13" t="s">
        <v>28</v>
      </c>
      <c r="O13" t="s">
        <v>30</v>
      </c>
      <c r="P13">
        <f t="shared" si="1"/>
        <v>9</v>
      </c>
      <c r="Q13">
        <f t="shared" si="2"/>
        <v>2</v>
      </c>
      <c r="R13">
        <f t="shared" si="3"/>
        <v>3</v>
      </c>
      <c r="S13">
        <f t="shared" si="5"/>
        <v>14</v>
      </c>
      <c r="T13">
        <f t="shared" si="4"/>
        <v>6</v>
      </c>
      <c r="U13">
        <f t="shared" si="6"/>
        <v>9</v>
      </c>
      <c r="V13">
        <f t="shared" si="7"/>
        <v>9</v>
      </c>
      <c r="W13">
        <f t="shared" si="8"/>
        <v>6</v>
      </c>
      <c r="X13">
        <f t="shared" si="9"/>
        <v>9</v>
      </c>
      <c r="Y13">
        <f t="shared" si="10"/>
        <v>6</v>
      </c>
      <c r="Z13">
        <f t="shared" si="11"/>
        <v>5</v>
      </c>
      <c r="AA13">
        <f t="shared" si="12"/>
        <v>5</v>
      </c>
      <c r="AB13">
        <f t="shared" si="13"/>
        <v>5</v>
      </c>
      <c r="AC13">
        <f t="shared" si="14"/>
        <v>8</v>
      </c>
      <c r="AD13">
        <f t="shared" si="15"/>
        <v>7</v>
      </c>
      <c r="AE13">
        <f t="shared" si="16"/>
        <v>8</v>
      </c>
      <c r="AR13">
        <v>12</v>
      </c>
      <c r="AS13">
        <f t="shared" si="0"/>
        <v>0</v>
      </c>
    </row>
    <row r="14" spans="2:45" x14ac:dyDescent="0.3">
      <c r="B14" t="s">
        <v>64</v>
      </c>
      <c r="C14" t="s">
        <v>29</v>
      </c>
      <c r="D14" t="s">
        <v>28</v>
      </c>
      <c r="E14" t="s">
        <v>27</v>
      </c>
      <c r="F14" t="s">
        <v>28</v>
      </c>
      <c r="G14" t="s">
        <v>27</v>
      </c>
      <c r="H14" t="s">
        <v>29</v>
      </c>
      <c r="I14" t="s">
        <v>29</v>
      </c>
      <c r="J14" t="s">
        <v>27</v>
      </c>
      <c r="K14" t="s">
        <v>28</v>
      </c>
      <c r="L14" t="s">
        <v>28</v>
      </c>
      <c r="M14" t="s">
        <v>29</v>
      </c>
      <c r="N14" t="s">
        <v>28</v>
      </c>
      <c r="O14" t="s">
        <v>30</v>
      </c>
      <c r="P14">
        <f t="shared" si="1"/>
        <v>7</v>
      </c>
      <c r="Q14">
        <f t="shared" si="2"/>
        <v>3</v>
      </c>
      <c r="R14">
        <f t="shared" si="3"/>
        <v>4</v>
      </c>
      <c r="S14">
        <f t="shared" si="5"/>
        <v>14</v>
      </c>
      <c r="T14">
        <f t="shared" si="4"/>
        <v>4</v>
      </c>
      <c r="U14">
        <f t="shared" si="6"/>
        <v>6</v>
      </c>
      <c r="V14">
        <f t="shared" si="7"/>
        <v>8</v>
      </c>
      <c r="W14">
        <f t="shared" si="8"/>
        <v>5</v>
      </c>
      <c r="X14">
        <f t="shared" si="9"/>
        <v>10</v>
      </c>
      <c r="Y14">
        <f t="shared" si="10"/>
        <v>4</v>
      </c>
      <c r="Z14">
        <f t="shared" si="11"/>
        <v>4</v>
      </c>
      <c r="AA14">
        <f t="shared" si="12"/>
        <v>2</v>
      </c>
      <c r="AB14">
        <f t="shared" si="13"/>
        <v>4</v>
      </c>
      <c r="AC14">
        <f t="shared" si="14"/>
        <v>5</v>
      </c>
      <c r="AD14">
        <f t="shared" si="15"/>
        <v>6</v>
      </c>
      <c r="AR14">
        <v>13</v>
      </c>
      <c r="AS14">
        <f t="shared" si="0"/>
        <v>0</v>
      </c>
    </row>
    <row r="15" spans="2:45" x14ac:dyDescent="0.3">
      <c r="B15" t="s">
        <v>63</v>
      </c>
      <c r="C15" t="s">
        <v>28</v>
      </c>
      <c r="D15" t="s">
        <v>28</v>
      </c>
      <c r="E15" t="s">
        <v>27</v>
      </c>
      <c r="F15" t="s">
        <v>28</v>
      </c>
      <c r="G15" t="s">
        <v>29</v>
      </c>
      <c r="H15" t="s">
        <v>29</v>
      </c>
      <c r="I15" t="s">
        <v>27</v>
      </c>
      <c r="J15" t="s">
        <v>28</v>
      </c>
      <c r="K15" t="s">
        <v>29</v>
      </c>
      <c r="L15" t="s">
        <v>28</v>
      </c>
      <c r="M15" t="s">
        <v>27</v>
      </c>
      <c r="N15" t="s">
        <v>28</v>
      </c>
      <c r="O15" t="s">
        <v>32</v>
      </c>
      <c r="P15">
        <f t="shared" si="1"/>
        <v>6</v>
      </c>
      <c r="Q15">
        <f t="shared" si="2"/>
        <v>5</v>
      </c>
      <c r="R15">
        <f t="shared" si="3"/>
        <v>3</v>
      </c>
      <c r="S15">
        <f t="shared" si="5"/>
        <v>14</v>
      </c>
      <c r="T15">
        <f t="shared" si="4"/>
        <v>7</v>
      </c>
      <c r="U15">
        <f t="shared" si="6"/>
        <v>7</v>
      </c>
      <c r="V15">
        <f t="shared" si="7"/>
        <v>7</v>
      </c>
      <c r="W15">
        <f t="shared" si="8"/>
        <v>5</v>
      </c>
      <c r="X15">
        <f t="shared" si="9"/>
        <v>7</v>
      </c>
      <c r="Y15">
        <f t="shared" si="10"/>
        <v>7</v>
      </c>
      <c r="Z15">
        <f t="shared" si="11"/>
        <v>6</v>
      </c>
      <c r="AA15">
        <f t="shared" si="12"/>
        <v>6</v>
      </c>
      <c r="AB15">
        <f t="shared" si="13"/>
        <v>7</v>
      </c>
      <c r="AC15">
        <f t="shared" si="14"/>
        <v>4</v>
      </c>
      <c r="AR15">
        <v>14</v>
      </c>
      <c r="AS15">
        <f t="shared" si="0"/>
        <v>0</v>
      </c>
    </row>
    <row r="16" spans="2:45" x14ac:dyDescent="0.3">
      <c r="B16" t="s">
        <v>64</v>
      </c>
      <c r="C16" t="s">
        <v>28</v>
      </c>
      <c r="D16" t="s">
        <v>28</v>
      </c>
      <c r="E16" t="s">
        <v>29</v>
      </c>
      <c r="F16" t="s">
        <v>27</v>
      </c>
      <c r="G16" t="s">
        <v>27</v>
      </c>
      <c r="H16" t="s">
        <v>28</v>
      </c>
      <c r="I16" t="s">
        <v>27</v>
      </c>
      <c r="J16" t="s">
        <v>27</v>
      </c>
      <c r="K16" t="s">
        <v>27</v>
      </c>
      <c r="L16" t="s">
        <v>27</v>
      </c>
      <c r="M16" t="s">
        <v>28</v>
      </c>
      <c r="N16" t="s">
        <v>28</v>
      </c>
      <c r="O16" t="s">
        <v>31</v>
      </c>
      <c r="P16">
        <f t="shared" si="1"/>
        <v>6</v>
      </c>
      <c r="Q16">
        <f t="shared" si="2"/>
        <v>6</v>
      </c>
      <c r="R16">
        <f t="shared" si="3"/>
        <v>2</v>
      </c>
      <c r="S16">
        <f t="shared" si="5"/>
        <v>14</v>
      </c>
      <c r="T16">
        <f t="shared" si="4"/>
        <v>5</v>
      </c>
      <c r="U16">
        <f t="shared" si="6"/>
        <v>7</v>
      </c>
      <c r="V16">
        <f t="shared" si="7"/>
        <v>6</v>
      </c>
      <c r="W16">
        <f t="shared" si="8"/>
        <v>4</v>
      </c>
      <c r="X16">
        <f t="shared" si="9"/>
        <v>5</v>
      </c>
      <c r="Y16">
        <f t="shared" si="10"/>
        <v>6</v>
      </c>
      <c r="Z16">
        <f t="shared" si="11"/>
        <v>3</v>
      </c>
      <c r="AA16">
        <f t="shared" si="12"/>
        <v>5</v>
      </c>
      <c r="AB16">
        <f t="shared" si="13"/>
        <v>4</v>
      </c>
    </row>
    <row r="17" spans="1:43" x14ac:dyDescent="0.3">
      <c r="B17" t="s">
        <v>65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29</v>
      </c>
      <c r="J17" t="s">
        <v>28</v>
      </c>
      <c r="K17" t="s">
        <v>27</v>
      </c>
      <c r="L17" t="s">
        <v>28</v>
      </c>
      <c r="M17" t="s">
        <v>27</v>
      </c>
      <c r="N17" t="s">
        <v>27</v>
      </c>
      <c r="O17" t="s">
        <v>32</v>
      </c>
      <c r="P17">
        <f t="shared" si="1"/>
        <v>8</v>
      </c>
      <c r="Q17">
        <f t="shared" si="2"/>
        <v>4</v>
      </c>
      <c r="R17">
        <f t="shared" si="3"/>
        <v>2</v>
      </c>
      <c r="S17">
        <f t="shared" si="5"/>
        <v>14</v>
      </c>
      <c r="T17">
        <f t="shared" si="4"/>
        <v>5</v>
      </c>
      <c r="U17">
        <f t="shared" si="6"/>
        <v>5</v>
      </c>
      <c r="V17">
        <f t="shared" si="7"/>
        <v>7</v>
      </c>
      <c r="W17">
        <f t="shared" si="8"/>
        <v>7</v>
      </c>
      <c r="X17">
        <f t="shared" si="9"/>
        <v>6</v>
      </c>
      <c r="Y17">
        <f t="shared" si="10"/>
        <v>7</v>
      </c>
      <c r="Z17">
        <f t="shared" si="11"/>
        <v>8</v>
      </c>
      <c r="AA17">
        <f t="shared" si="12"/>
        <v>4</v>
      </c>
    </row>
    <row r="18" spans="1:43" x14ac:dyDescent="0.3">
      <c r="B18" t="s">
        <v>65</v>
      </c>
      <c r="C18" t="s">
        <v>28</v>
      </c>
      <c r="D18" t="s">
        <v>27</v>
      </c>
      <c r="E18" t="s">
        <v>28</v>
      </c>
      <c r="F18" t="s">
        <v>29</v>
      </c>
      <c r="G18" t="s">
        <v>29</v>
      </c>
      <c r="H18" t="s">
        <v>27</v>
      </c>
      <c r="I18" t="s">
        <v>27</v>
      </c>
      <c r="J18" t="s">
        <v>28</v>
      </c>
      <c r="K18" t="s">
        <v>29</v>
      </c>
      <c r="L18" t="s">
        <v>27</v>
      </c>
      <c r="M18" t="s">
        <v>28</v>
      </c>
      <c r="N18" t="s">
        <v>28</v>
      </c>
      <c r="O18" t="s">
        <v>30</v>
      </c>
      <c r="P18">
        <f t="shared" si="1"/>
        <v>6</v>
      </c>
      <c r="Q18">
        <f t="shared" si="2"/>
        <v>4</v>
      </c>
      <c r="R18">
        <f t="shared" si="3"/>
        <v>4</v>
      </c>
      <c r="S18">
        <f t="shared" si="5"/>
        <v>14</v>
      </c>
      <c r="T18">
        <f t="shared" si="4"/>
        <v>5</v>
      </c>
      <c r="U18">
        <f t="shared" si="6"/>
        <v>8</v>
      </c>
      <c r="V18">
        <f t="shared" si="7"/>
        <v>6</v>
      </c>
      <c r="W18">
        <f t="shared" si="8"/>
        <v>7</v>
      </c>
      <c r="X18">
        <f t="shared" si="9"/>
        <v>4</v>
      </c>
      <c r="Y18">
        <f t="shared" si="10"/>
        <v>9</v>
      </c>
      <c r="Z18">
        <f t="shared" si="11"/>
        <v>7</v>
      </c>
    </row>
    <row r="19" spans="1:43" x14ac:dyDescent="0.3">
      <c r="B19" t="s">
        <v>65</v>
      </c>
      <c r="C19" t="s">
        <v>29</v>
      </c>
      <c r="D19" t="s">
        <v>27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29</v>
      </c>
      <c r="L19" t="s">
        <v>28</v>
      </c>
      <c r="M19" t="s">
        <v>28</v>
      </c>
      <c r="N19" t="s">
        <v>28</v>
      </c>
      <c r="O19" t="s">
        <v>32</v>
      </c>
      <c r="P19">
        <f t="shared" si="1"/>
        <v>9</v>
      </c>
      <c r="Q19">
        <f t="shared" si="2"/>
        <v>2</v>
      </c>
      <c r="R19">
        <f t="shared" si="3"/>
        <v>3</v>
      </c>
      <c r="S19">
        <f t="shared" si="5"/>
        <v>14</v>
      </c>
      <c r="T19">
        <f t="shared" si="4"/>
        <v>4</v>
      </c>
      <c r="U19">
        <f t="shared" si="6"/>
        <v>5</v>
      </c>
      <c r="V19">
        <f t="shared" si="7"/>
        <v>5</v>
      </c>
      <c r="W19">
        <f t="shared" si="8"/>
        <v>6</v>
      </c>
      <c r="X19">
        <f t="shared" si="9"/>
        <v>5</v>
      </c>
      <c r="Y19">
        <f t="shared" si="10"/>
        <v>7</v>
      </c>
    </row>
    <row r="20" spans="1:43" x14ac:dyDescent="0.3">
      <c r="B20" t="s">
        <v>65</v>
      </c>
      <c r="C20" t="s">
        <v>28</v>
      </c>
      <c r="D20" t="s">
        <v>28</v>
      </c>
      <c r="E20" t="s">
        <v>28</v>
      </c>
      <c r="F20" t="s">
        <v>27</v>
      </c>
      <c r="G20" t="s">
        <v>29</v>
      </c>
      <c r="H20" t="s">
        <v>27</v>
      </c>
      <c r="I20" t="s">
        <v>29</v>
      </c>
      <c r="J20" t="s">
        <v>28</v>
      </c>
      <c r="K20" t="s">
        <v>29</v>
      </c>
      <c r="L20" t="s">
        <v>28</v>
      </c>
      <c r="M20" t="s">
        <v>28</v>
      </c>
      <c r="N20" t="s">
        <v>28</v>
      </c>
      <c r="O20" t="s">
        <v>31</v>
      </c>
      <c r="P20">
        <f t="shared" si="1"/>
        <v>7</v>
      </c>
      <c r="Q20">
        <f t="shared" si="2"/>
        <v>2</v>
      </c>
      <c r="R20">
        <f t="shared" si="3"/>
        <v>5</v>
      </c>
      <c r="S20">
        <f t="shared" si="5"/>
        <v>14</v>
      </c>
      <c r="T20">
        <f t="shared" si="4"/>
        <v>8</v>
      </c>
      <c r="U20">
        <f t="shared" si="6"/>
        <v>11</v>
      </c>
      <c r="V20">
        <f t="shared" si="7"/>
        <v>7</v>
      </c>
      <c r="W20">
        <f t="shared" si="8"/>
        <v>8</v>
      </c>
      <c r="X20">
        <f t="shared" si="9"/>
        <v>6</v>
      </c>
    </row>
    <row r="21" spans="1:43" x14ac:dyDescent="0.3">
      <c r="B21" t="s">
        <v>64</v>
      </c>
      <c r="C21" t="s">
        <v>28</v>
      </c>
      <c r="D21" t="s">
        <v>28</v>
      </c>
      <c r="E21" t="s">
        <v>27</v>
      </c>
      <c r="F21" t="s">
        <v>28</v>
      </c>
      <c r="G21" t="s">
        <v>28</v>
      </c>
      <c r="H21" t="s">
        <v>29</v>
      </c>
      <c r="I21" t="s">
        <v>29</v>
      </c>
      <c r="J21" t="s">
        <v>29</v>
      </c>
      <c r="K21" t="s">
        <v>28</v>
      </c>
      <c r="L21" t="s">
        <v>28</v>
      </c>
      <c r="M21" t="s">
        <v>28</v>
      </c>
      <c r="N21" t="s">
        <v>28</v>
      </c>
      <c r="O21" t="s">
        <v>30</v>
      </c>
      <c r="P21">
        <f t="shared" si="1"/>
        <v>10</v>
      </c>
      <c r="Q21">
        <f t="shared" si="2"/>
        <v>1</v>
      </c>
      <c r="R21">
        <f t="shared" si="3"/>
        <v>3</v>
      </c>
      <c r="S21">
        <f t="shared" si="5"/>
        <v>14</v>
      </c>
      <c r="T21">
        <f t="shared" si="4"/>
        <v>6</v>
      </c>
      <c r="U21">
        <f t="shared" si="6"/>
        <v>8</v>
      </c>
      <c r="V21">
        <f t="shared" si="7"/>
        <v>11</v>
      </c>
      <c r="W21">
        <f t="shared" si="8"/>
        <v>6</v>
      </c>
    </row>
    <row r="22" spans="1:43" x14ac:dyDescent="0.3">
      <c r="B22" t="s">
        <v>64</v>
      </c>
      <c r="C22" t="s">
        <v>27</v>
      </c>
      <c r="D22" t="s">
        <v>28</v>
      </c>
      <c r="E22" t="s">
        <v>28</v>
      </c>
      <c r="F22" t="s">
        <v>29</v>
      </c>
      <c r="G22" t="s">
        <v>29</v>
      </c>
      <c r="H22" t="s">
        <v>28</v>
      </c>
      <c r="I22" t="s">
        <v>29</v>
      </c>
      <c r="J22" t="s">
        <v>28</v>
      </c>
      <c r="K22" t="s">
        <v>29</v>
      </c>
      <c r="L22" t="s">
        <v>28</v>
      </c>
      <c r="M22" t="s">
        <v>28</v>
      </c>
      <c r="N22" t="s">
        <v>27</v>
      </c>
      <c r="O22" t="s">
        <v>30</v>
      </c>
      <c r="P22">
        <f t="shared" si="1"/>
        <v>8</v>
      </c>
      <c r="Q22">
        <f t="shared" si="2"/>
        <v>2</v>
      </c>
      <c r="R22">
        <f t="shared" si="3"/>
        <v>4</v>
      </c>
      <c r="S22">
        <f t="shared" si="5"/>
        <v>14</v>
      </c>
      <c r="T22">
        <f t="shared" si="4"/>
        <v>5</v>
      </c>
      <c r="U22">
        <f t="shared" si="6"/>
        <v>9</v>
      </c>
      <c r="V22">
        <f t="shared" si="7"/>
        <v>8</v>
      </c>
    </row>
    <row r="23" spans="1:43" x14ac:dyDescent="0.3">
      <c r="B23" t="s">
        <v>64</v>
      </c>
      <c r="C23" t="s">
        <v>28</v>
      </c>
      <c r="D23" t="s">
        <v>28</v>
      </c>
      <c r="E23" t="s">
        <v>27</v>
      </c>
      <c r="F23" t="s">
        <v>29</v>
      </c>
      <c r="G23" t="s">
        <v>28</v>
      </c>
      <c r="H23" t="s">
        <v>29</v>
      </c>
      <c r="I23" t="s">
        <v>29</v>
      </c>
      <c r="J23" t="s">
        <v>28</v>
      </c>
      <c r="K23" t="s">
        <v>27</v>
      </c>
      <c r="L23" t="s">
        <v>28</v>
      </c>
      <c r="M23" t="s">
        <v>28</v>
      </c>
      <c r="N23" t="s">
        <v>28</v>
      </c>
      <c r="O23" t="s">
        <v>30</v>
      </c>
      <c r="P23">
        <f t="shared" si="1"/>
        <v>9</v>
      </c>
      <c r="Q23">
        <f t="shared" si="2"/>
        <v>2</v>
      </c>
      <c r="R23">
        <f t="shared" si="3"/>
        <v>3</v>
      </c>
      <c r="S23">
        <f t="shared" si="5"/>
        <v>14</v>
      </c>
      <c r="T23">
        <f t="shared" si="4"/>
        <v>5</v>
      </c>
      <c r="U23">
        <f t="shared" si="6"/>
        <v>9</v>
      </c>
    </row>
    <row r="24" spans="1:43" x14ac:dyDescent="0.3">
      <c r="B24" t="s">
        <v>64</v>
      </c>
      <c r="C24" t="s">
        <v>28</v>
      </c>
      <c r="D24" t="s">
        <v>28</v>
      </c>
      <c r="E24" t="s">
        <v>29</v>
      </c>
      <c r="F24" t="s">
        <v>27</v>
      </c>
      <c r="G24" t="s">
        <v>29</v>
      </c>
      <c r="H24" t="s">
        <v>27</v>
      </c>
      <c r="I24" t="s">
        <v>29</v>
      </c>
      <c r="J24" t="s">
        <v>28</v>
      </c>
      <c r="K24" t="s">
        <v>29</v>
      </c>
      <c r="L24" t="s">
        <v>28</v>
      </c>
      <c r="M24" t="s">
        <v>28</v>
      </c>
      <c r="N24" t="s">
        <v>28</v>
      </c>
      <c r="O24" t="s">
        <v>30</v>
      </c>
      <c r="P24">
        <f t="shared" si="1"/>
        <v>8</v>
      </c>
      <c r="Q24">
        <f t="shared" si="2"/>
        <v>2</v>
      </c>
      <c r="R24">
        <f t="shared" si="3"/>
        <v>4</v>
      </c>
      <c r="S24">
        <f t="shared" si="5"/>
        <v>14</v>
      </c>
      <c r="T24">
        <f t="shared" si="4"/>
        <v>10</v>
      </c>
    </row>
    <row r="25" spans="1:43" x14ac:dyDescent="0.3">
      <c r="B25" t="s">
        <v>64</v>
      </c>
      <c r="C25" t="s">
        <v>28</v>
      </c>
      <c r="D25" t="s">
        <v>29</v>
      </c>
      <c r="E25" t="s">
        <v>29</v>
      </c>
      <c r="F25" t="s">
        <v>27</v>
      </c>
      <c r="G25" t="s">
        <v>29</v>
      </c>
      <c r="H25" t="s">
        <v>27</v>
      </c>
      <c r="I25" t="s">
        <v>29</v>
      </c>
      <c r="J25" t="s">
        <v>29</v>
      </c>
      <c r="K25" t="s">
        <v>29</v>
      </c>
      <c r="L25" t="s">
        <v>28</v>
      </c>
      <c r="M25" t="s">
        <v>27</v>
      </c>
      <c r="N25" t="s">
        <v>28</v>
      </c>
      <c r="O25" t="s">
        <v>32</v>
      </c>
      <c r="P25">
        <f t="shared" si="1"/>
        <v>4</v>
      </c>
      <c r="Q25">
        <f t="shared" si="2"/>
        <v>4</v>
      </c>
      <c r="R25">
        <f t="shared" si="3"/>
        <v>6</v>
      </c>
      <c r="S25">
        <f t="shared" si="5"/>
        <v>14</v>
      </c>
    </row>
    <row r="26" spans="1:43" x14ac:dyDescent="0.3">
      <c r="A26" t="s">
        <v>28</v>
      </c>
      <c r="B26">
        <f>COUNTIF(B2:B25,$A36)</f>
        <v>10</v>
      </c>
      <c r="C26">
        <f t="shared" ref="C26:N26" si="26">COUNTIF(C2:C25,$A26)</f>
        <v>15</v>
      </c>
      <c r="D26">
        <f t="shared" si="26"/>
        <v>17</v>
      </c>
      <c r="E26">
        <f t="shared" si="26"/>
        <v>11</v>
      </c>
      <c r="F26">
        <f t="shared" si="26"/>
        <v>12</v>
      </c>
      <c r="G26">
        <f t="shared" si="26"/>
        <v>8</v>
      </c>
      <c r="H26">
        <f t="shared" si="26"/>
        <v>13</v>
      </c>
      <c r="I26">
        <f t="shared" si="26"/>
        <v>6</v>
      </c>
      <c r="J26">
        <f t="shared" si="26"/>
        <v>12</v>
      </c>
      <c r="K26">
        <f t="shared" si="26"/>
        <v>6</v>
      </c>
      <c r="L26">
        <f t="shared" si="26"/>
        <v>17</v>
      </c>
      <c r="M26">
        <f t="shared" si="26"/>
        <v>14</v>
      </c>
      <c r="N26">
        <f t="shared" si="26"/>
        <v>16</v>
      </c>
      <c r="O26">
        <f>COUNTIF(O2:O25,$A39)</f>
        <v>13</v>
      </c>
      <c r="T26">
        <f>SUM(T2:T25)</f>
        <v>107</v>
      </c>
      <c r="U26">
        <f t="shared" ref="U26:AP26" si="27">SUM(U2:U25)</f>
        <v>137</v>
      </c>
      <c r="V26">
        <f t="shared" si="27"/>
        <v>132</v>
      </c>
      <c r="W26">
        <f t="shared" si="27"/>
        <v>116</v>
      </c>
      <c r="X26">
        <f t="shared" si="27"/>
        <v>112</v>
      </c>
      <c r="Y26">
        <f t="shared" si="27"/>
        <v>102</v>
      </c>
      <c r="Z26">
        <f t="shared" si="27"/>
        <v>95</v>
      </c>
      <c r="AA26">
        <f t="shared" si="27"/>
        <v>74</v>
      </c>
      <c r="AB26">
        <f t="shared" si="27"/>
        <v>80</v>
      </c>
      <c r="AC26">
        <f t="shared" si="27"/>
        <v>76</v>
      </c>
      <c r="AD26">
        <f t="shared" si="27"/>
        <v>71</v>
      </c>
      <c r="AE26">
        <f t="shared" si="27"/>
        <v>69</v>
      </c>
      <c r="AF26">
        <f t="shared" si="27"/>
        <v>58</v>
      </c>
      <c r="AG26">
        <f t="shared" si="27"/>
        <v>51</v>
      </c>
      <c r="AH26">
        <f t="shared" si="27"/>
        <v>48</v>
      </c>
      <c r="AI26">
        <f t="shared" si="27"/>
        <v>34</v>
      </c>
      <c r="AJ26">
        <f t="shared" si="27"/>
        <v>34</v>
      </c>
      <c r="AK26">
        <f t="shared" si="27"/>
        <v>34</v>
      </c>
      <c r="AL26">
        <f t="shared" si="27"/>
        <v>23</v>
      </c>
      <c r="AM26">
        <f t="shared" si="27"/>
        <v>19</v>
      </c>
      <c r="AN26">
        <f t="shared" si="27"/>
        <v>17</v>
      </c>
      <c r="AO26">
        <f t="shared" si="27"/>
        <v>12</v>
      </c>
      <c r="AP26">
        <f t="shared" si="27"/>
        <v>5</v>
      </c>
      <c r="AQ26">
        <f>SUM(T26:AP26)</f>
        <v>1506</v>
      </c>
    </row>
    <row r="27" spans="1:43" x14ac:dyDescent="0.3">
      <c r="A27" t="s">
        <v>27</v>
      </c>
      <c r="B27">
        <f>COUNTIF(B2:B25,$A37)</f>
        <v>8</v>
      </c>
      <c r="C27">
        <f t="shared" ref="C27:N27" si="28">COUNTIF(C2:C25,$A27)</f>
        <v>4</v>
      </c>
      <c r="D27">
        <f t="shared" si="28"/>
        <v>5</v>
      </c>
      <c r="E27">
        <f t="shared" si="28"/>
        <v>8</v>
      </c>
      <c r="F27">
        <f t="shared" si="28"/>
        <v>6</v>
      </c>
      <c r="G27">
        <f t="shared" si="28"/>
        <v>7</v>
      </c>
      <c r="H27">
        <f t="shared" si="28"/>
        <v>5</v>
      </c>
      <c r="I27">
        <f t="shared" si="28"/>
        <v>7</v>
      </c>
      <c r="J27">
        <f t="shared" si="28"/>
        <v>8</v>
      </c>
      <c r="K27">
        <f t="shared" si="28"/>
        <v>7</v>
      </c>
      <c r="L27">
        <f t="shared" si="28"/>
        <v>4</v>
      </c>
      <c r="M27">
        <f t="shared" si="28"/>
        <v>5</v>
      </c>
      <c r="N27">
        <f t="shared" si="28"/>
        <v>4</v>
      </c>
      <c r="O27">
        <f>COUNTIF(O2:O25,$A40)</f>
        <v>5</v>
      </c>
    </row>
    <row r="28" spans="1:43" x14ac:dyDescent="0.3">
      <c r="A28" t="s">
        <v>29</v>
      </c>
      <c r="B28">
        <f>COUNTIF(B2:B25,$A38)</f>
        <v>6</v>
      </c>
      <c r="C28">
        <f t="shared" ref="C28:N28" si="29">COUNTIF(C2:C25,$A28)</f>
        <v>5</v>
      </c>
      <c r="D28">
        <f t="shared" si="29"/>
        <v>2</v>
      </c>
      <c r="E28">
        <f t="shared" si="29"/>
        <v>5</v>
      </c>
      <c r="F28">
        <f t="shared" si="29"/>
        <v>6</v>
      </c>
      <c r="G28">
        <f t="shared" si="29"/>
        <v>9</v>
      </c>
      <c r="H28">
        <f t="shared" si="29"/>
        <v>6</v>
      </c>
      <c r="I28">
        <f t="shared" si="29"/>
        <v>11</v>
      </c>
      <c r="J28">
        <f t="shared" si="29"/>
        <v>4</v>
      </c>
      <c r="K28">
        <f t="shared" si="29"/>
        <v>11</v>
      </c>
      <c r="L28">
        <f t="shared" si="29"/>
        <v>3</v>
      </c>
      <c r="M28">
        <f t="shared" si="29"/>
        <v>5</v>
      </c>
      <c r="N28">
        <f t="shared" si="29"/>
        <v>4</v>
      </c>
      <c r="O28">
        <f>COUNTIF(O2:O25,$A41)</f>
        <v>6</v>
      </c>
    </row>
    <row r="29" spans="1:43" x14ac:dyDescent="0.3">
      <c r="B29">
        <f>SUM(B26:B28)</f>
        <v>24</v>
      </c>
      <c r="C29">
        <f t="shared" ref="C29:O29" si="30">SUM(C26:C28)</f>
        <v>24</v>
      </c>
      <c r="D29">
        <f t="shared" si="30"/>
        <v>24</v>
      </c>
      <c r="E29">
        <f t="shared" si="30"/>
        <v>24</v>
      </c>
      <c r="F29">
        <f t="shared" si="30"/>
        <v>24</v>
      </c>
      <c r="G29">
        <f t="shared" si="30"/>
        <v>24</v>
      </c>
      <c r="H29">
        <f t="shared" si="30"/>
        <v>24</v>
      </c>
      <c r="I29">
        <f t="shared" si="30"/>
        <v>24</v>
      </c>
      <c r="J29">
        <f t="shared" si="30"/>
        <v>24</v>
      </c>
      <c r="K29">
        <f t="shared" si="30"/>
        <v>24</v>
      </c>
      <c r="L29">
        <f t="shared" si="30"/>
        <v>24</v>
      </c>
      <c r="M29">
        <f t="shared" si="30"/>
        <v>24</v>
      </c>
      <c r="N29">
        <f t="shared" si="30"/>
        <v>24</v>
      </c>
      <c r="O29">
        <f t="shared" si="30"/>
        <v>24</v>
      </c>
    </row>
    <row r="30" spans="1:43" x14ac:dyDescent="0.3">
      <c r="A30" t="s">
        <v>44</v>
      </c>
      <c r="B30">
        <v>12</v>
      </c>
      <c r="C30">
        <v>16</v>
      </c>
      <c r="D30">
        <v>17</v>
      </c>
      <c r="E30">
        <v>11</v>
      </c>
      <c r="F30">
        <v>12</v>
      </c>
      <c r="G30">
        <v>8</v>
      </c>
      <c r="H30">
        <v>13</v>
      </c>
      <c r="I30">
        <v>6</v>
      </c>
      <c r="J30">
        <v>12</v>
      </c>
      <c r="K30">
        <v>6</v>
      </c>
      <c r="L30">
        <v>18</v>
      </c>
      <c r="M30">
        <v>14</v>
      </c>
      <c r="N30">
        <v>17</v>
      </c>
      <c r="O30">
        <v>13</v>
      </c>
    </row>
    <row r="31" spans="1:43" x14ac:dyDescent="0.3">
      <c r="A31" t="s">
        <v>45</v>
      </c>
      <c r="B31">
        <v>7</v>
      </c>
      <c r="C31">
        <v>5</v>
      </c>
      <c r="D31">
        <v>5</v>
      </c>
      <c r="E31">
        <v>8</v>
      </c>
      <c r="F31">
        <v>7</v>
      </c>
      <c r="G31">
        <v>7</v>
      </c>
      <c r="H31">
        <v>6</v>
      </c>
      <c r="I31">
        <v>7</v>
      </c>
      <c r="J31">
        <v>7</v>
      </c>
      <c r="K31">
        <v>7</v>
      </c>
      <c r="L31">
        <v>4</v>
      </c>
      <c r="M31">
        <v>6</v>
      </c>
      <c r="N31">
        <v>4</v>
      </c>
      <c r="O31">
        <v>7</v>
      </c>
    </row>
    <row r="32" spans="1:43" x14ac:dyDescent="0.3">
      <c r="A32" t="s">
        <v>46</v>
      </c>
      <c r="B32">
        <v>6</v>
      </c>
      <c r="C32">
        <v>4</v>
      </c>
      <c r="D32">
        <v>3</v>
      </c>
      <c r="E32">
        <v>6</v>
      </c>
      <c r="F32">
        <v>6</v>
      </c>
      <c r="G32">
        <v>10</v>
      </c>
      <c r="H32">
        <v>6</v>
      </c>
      <c r="I32">
        <v>13</v>
      </c>
      <c r="J32">
        <v>5</v>
      </c>
      <c r="K32">
        <v>13</v>
      </c>
      <c r="L32">
        <v>3</v>
      </c>
      <c r="M32">
        <v>5</v>
      </c>
      <c r="N32">
        <v>3</v>
      </c>
      <c r="O32">
        <v>5</v>
      </c>
    </row>
    <row r="33" spans="1:15" x14ac:dyDescent="0.3">
      <c r="B33">
        <f>B26-B30</f>
        <v>-2</v>
      </c>
      <c r="C33">
        <f t="shared" ref="C33:O33" si="31">C26-C30</f>
        <v>-1</v>
      </c>
      <c r="D33">
        <f t="shared" si="31"/>
        <v>0</v>
      </c>
      <c r="E33">
        <f t="shared" si="31"/>
        <v>0</v>
      </c>
      <c r="F33">
        <f t="shared" si="31"/>
        <v>0</v>
      </c>
      <c r="G33">
        <f t="shared" si="31"/>
        <v>0</v>
      </c>
      <c r="H33">
        <f t="shared" si="31"/>
        <v>0</v>
      </c>
      <c r="I33">
        <f t="shared" si="31"/>
        <v>0</v>
      </c>
      <c r="J33">
        <f t="shared" si="31"/>
        <v>0</v>
      </c>
      <c r="K33">
        <f t="shared" si="31"/>
        <v>0</v>
      </c>
      <c r="L33">
        <f t="shared" si="31"/>
        <v>-1</v>
      </c>
      <c r="M33">
        <f t="shared" si="31"/>
        <v>0</v>
      </c>
      <c r="N33">
        <f t="shared" si="31"/>
        <v>-1</v>
      </c>
      <c r="O33">
        <f t="shared" si="31"/>
        <v>0</v>
      </c>
    </row>
    <row r="34" spans="1:15" x14ac:dyDescent="0.3">
      <c r="B34">
        <f t="shared" ref="B34:O35" si="32">B27-B31</f>
        <v>1</v>
      </c>
      <c r="C34">
        <f t="shared" si="32"/>
        <v>-1</v>
      </c>
      <c r="D34">
        <f t="shared" si="32"/>
        <v>0</v>
      </c>
      <c r="E34">
        <f t="shared" si="32"/>
        <v>0</v>
      </c>
      <c r="F34">
        <f t="shared" si="32"/>
        <v>-1</v>
      </c>
      <c r="G34">
        <f t="shared" si="32"/>
        <v>0</v>
      </c>
      <c r="H34">
        <f t="shared" si="32"/>
        <v>-1</v>
      </c>
      <c r="I34">
        <f t="shared" si="32"/>
        <v>0</v>
      </c>
      <c r="J34">
        <f t="shared" si="32"/>
        <v>1</v>
      </c>
      <c r="K34">
        <f t="shared" si="32"/>
        <v>0</v>
      </c>
      <c r="L34">
        <f t="shared" si="32"/>
        <v>0</v>
      </c>
      <c r="M34">
        <f t="shared" si="32"/>
        <v>-1</v>
      </c>
      <c r="N34">
        <f t="shared" si="32"/>
        <v>0</v>
      </c>
      <c r="O34">
        <f t="shared" si="32"/>
        <v>-2</v>
      </c>
    </row>
    <row r="35" spans="1:15" x14ac:dyDescent="0.3">
      <c r="B35">
        <f t="shared" si="32"/>
        <v>0</v>
      </c>
      <c r="C35">
        <f t="shared" si="32"/>
        <v>1</v>
      </c>
      <c r="D35">
        <f t="shared" si="32"/>
        <v>-1</v>
      </c>
      <c r="E35">
        <f t="shared" si="32"/>
        <v>-1</v>
      </c>
      <c r="F35">
        <f t="shared" si="32"/>
        <v>0</v>
      </c>
      <c r="G35">
        <f t="shared" si="32"/>
        <v>-1</v>
      </c>
      <c r="H35">
        <f t="shared" si="32"/>
        <v>0</v>
      </c>
      <c r="I35">
        <f t="shared" si="32"/>
        <v>-2</v>
      </c>
      <c r="J35">
        <f t="shared" si="32"/>
        <v>-1</v>
      </c>
      <c r="K35">
        <f t="shared" si="32"/>
        <v>-2</v>
      </c>
      <c r="L35">
        <f t="shared" si="32"/>
        <v>0</v>
      </c>
      <c r="M35">
        <f t="shared" si="32"/>
        <v>0</v>
      </c>
      <c r="N35">
        <f t="shared" si="32"/>
        <v>1</v>
      </c>
      <c r="O35">
        <f t="shared" si="32"/>
        <v>1</v>
      </c>
    </row>
    <row r="36" spans="1:15" x14ac:dyDescent="0.3">
      <c r="A36" t="s">
        <v>64</v>
      </c>
    </row>
    <row r="37" spans="1:15" x14ac:dyDescent="0.3">
      <c r="A37" t="s">
        <v>63</v>
      </c>
    </row>
    <row r="38" spans="1:15" x14ac:dyDescent="0.3">
      <c r="A38" t="s">
        <v>65</v>
      </c>
    </row>
    <row r="39" spans="1:15" x14ac:dyDescent="0.3">
      <c r="A39" t="s">
        <v>30</v>
      </c>
    </row>
    <row r="40" spans="1:15" x14ac:dyDescent="0.3">
      <c r="A40" t="s">
        <v>32</v>
      </c>
    </row>
    <row r="41" spans="1:15" x14ac:dyDescent="0.3">
      <c r="A41" t="s">
        <v>31</v>
      </c>
    </row>
  </sheetData>
  <conditionalFormatting sqref="B26:O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06"/>
  <sheetViews>
    <sheetView tabSelected="1" zoomScale="85" zoomScaleNormal="85" workbookViewId="0">
      <selection activeCell="R43" sqref="R43"/>
    </sheetView>
  </sheetViews>
  <sheetFormatPr baseColWidth="10" defaultRowHeight="14.4" x14ac:dyDescent="0.3"/>
  <cols>
    <col min="1" max="1" width="3.33203125" bestFit="1" customWidth="1"/>
    <col min="2" max="15" width="6.6640625" bestFit="1" customWidth="1"/>
    <col min="16" max="18" width="5.88671875" bestFit="1" customWidth="1"/>
    <col min="19" max="19" width="3" bestFit="1" customWidth="1"/>
    <col min="20" max="20" width="5.109375" customWidth="1"/>
    <col min="21" max="36" width="5.33203125" bestFit="1" customWidth="1"/>
    <col min="37" max="42" width="4.33203125" bestFit="1" customWidth="1"/>
    <col min="43" max="50" width="4.33203125" customWidth="1"/>
    <col min="51" max="51" width="4.33203125" bestFit="1" customWidth="1"/>
    <col min="52" max="52" width="5.109375" customWidth="1"/>
    <col min="53" max="53" width="3" bestFit="1" customWidth="1"/>
    <col min="54" max="54" width="4.44140625" customWidth="1"/>
  </cols>
  <sheetData>
    <row r="1" spans="1:54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 t="s">
        <v>33</v>
      </c>
      <c r="Q1" t="s">
        <v>34</v>
      </c>
      <c r="R1" t="s">
        <v>35</v>
      </c>
      <c r="T1" t="s">
        <v>67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BA1">
        <v>0</v>
      </c>
      <c r="BB1">
        <f t="shared" ref="BB1:BB15" si="0">COUNTIFS(U$2:AY$33,BA1)</f>
        <v>1</v>
      </c>
    </row>
    <row r="2" spans="1:54" x14ac:dyDescent="0.3">
      <c r="A2">
        <v>1</v>
      </c>
      <c r="B2" t="s">
        <v>25</v>
      </c>
      <c r="C2" t="s">
        <v>28</v>
      </c>
      <c r="D2" t="s">
        <v>27</v>
      </c>
      <c r="E2" t="s">
        <v>28</v>
      </c>
      <c r="F2" t="s">
        <v>28</v>
      </c>
      <c r="G2" t="s">
        <v>27</v>
      </c>
      <c r="H2" t="s">
        <v>29</v>
      </c>
      <c r="I2" t="s">
        <v>29</v>
      </c>
      <c r="J2" t="s">
        <v>28</v>
      </c>
      <c r="K2" t="s">
        <v>29</v>
      </c>
      <c r="L2" t="s">
        <v>28</v>
      </c>
      <c r="M2" t="s">
        <v>28</v>
      </c>
      <c r="N2" t="s">
        <v>28</v>
      </c>
      <c r="O2" t="s">
        <v>32</v>
      </c>
      <c r="P2">
        <f t="shared" ref="P2:P33" si="1">COUNTIF(B2:O2,A$35)+COUNTIF(B2:O2,A$45)+COUNTIF(B2:O2,A$48)</f>
        <v>8</v>
      </c>
      <c r="Q2">
        <f t="shared" ref="Q2:Q33" si="2">COUNTIF(B2:O2,A$36)+COUNTIF(B2:O2,A$46)+COUNTIF(B2:O2,A$49)</f>
        <v>3</v>
      </c>
      <c r="R2">
        <f t="shared" ref="R2:R33" si="3">COUNTIF(B2:O2,A$37)+COUNTIF(B2:O2,A$47)+COUNTIF(B2:O2,A$50)</f>
        <v>3</v>
      </c>
      <c r="S2">
        <f>SUM(P2:R2)</f>
        <v>14</v>
      </c>
      <c r="T2" cm="1">
        <f t="array" ref="T2">SUMPRODUCT(--(B2:O2=B$34:O$34))</f>
        <v>8</v>
      </c>
      <c r="U2">
        <f t="shared" ref="U2:U32" si="4">SUMPRODUCT(--(B2:O2=B$33:O$33))</f>
        <v>5</v>
      </c>
      <c r="V2">
        <f t="shared" ref="V2:V31" si="5">SUMPRODUCT(--(B2:O2=B$32:O$32))</f>
        <v>5</v>
      </c>
      <c r="W2">
        <f>SUMPRODUCT(--(B2:O2=B$31:O$31))</f>
        <v>8</v>
      </c>
      <c r="X2">
        <f>SUMPRODUCT(--(B2:O2=B$30:O$30))</f>
        <v>5</v>
      </c>
      <c r="Y2">
        <f>SUMPRODUCT(--(B2:O2=B$29:O$29))</f>
        <v>5</v>
      </c>
      <c r="Z2">
        <f>SUMPRODUCT(--(B2:O2=B$28:O$28))</f>
        <v>5</v>
      </c>
      <c r="AA2">
        <f>SUMPRODUCT(--(B2:O2=B$27:O$27))</f>
        <v>5</v>
      </c>
      <c r="AB2">
        <f>SUMPRODUCT(--(B2:O2=B$26:O$26))</f>
        <v>5</v>
      </c>
      <c r="AC2">
        <f>SUMPRODUCT(--(B2:O2=B$25:O$25))</f>
        <v>5</v>
      </c>
      <c r="AD2">
        <f>SUMPRODUCT(--(B2:O2=B$24:O$24))</f>
        <v>8</v>
      </c>
      <c r="AE2">
        <f>SUMPRODUCT(--(B2:O2=B$23:O$23))</f>
        <v>8</v>
      </c>
      <c r="AF2">
        <f>SUMPRODUCT(--(B2:O2=B$22:O$22))</f>
        <v>3</v>
      </c>
      <c r="AG2">
        <f>SUMPRODUCT(--(B2:O2=B$21:O$21))</f>
        <v>3</v>
      </c>
      <c r="AH2">
        <f>SUMPRODUCT(--(B2:O2=B$20:O$20))</f>
        <v>5</v>
      </c>
      <c r="AI2">
        <f>SUMPRODUCT(--(B2:O2=B$19:O$19))</f>
        <v>5</v>
      </c>
      <c r="AJ2">
        <f>SUMPRODUCT(--(B2:O2=B$18:O$18))</f>
        <v>5</v>
      </c>
      <c r="AK2">
        <f>SUMPRODUCT(--(B2:O2=B$17:O$17))</f>
        <v>3</v>
      </c>
      <c r="AL2">
        <f>SUMPRODUCT(--(B2:O2=B$16:O$16))</f>
        <v>6</v>
      </c>
      <c r="AM2">
        <f>SUMPRODUCT(--(B2:O2=B$15:O$15))</f>
        <v>5</v>
      </c>
      <c r="AN2">
        <f>SUMPRODUCT(--(B2:O2=B$14:O$14))</f>
        <v>5</v>
      </c>
      <c r="AO2">
        <f>SUMPRODUCT(--(B2:O2=B$13:O$13))</f>
        <v>8</v>
      </c>
      <c r="AP2">
        <f>SUMPRODUCT(--(B2:O2=B$12:O$12))</f>
        <v>6</v>
      </c>
      <c r="AQ2">
        <f>SUMPRODUCT(--(B2:O2=B$11:O$11))</f>
        <v>8</v>
      </c>
      <c r="AR2">
        <f>SUMPRODUCT(--(B2:O2=B$10:O$10))</f>
        <v>3</v>
      </c>
      <c r="AS2">
        <f>SUMPRODUCT(--(B2:O2=B$9:O$9))</f>
        <v>6</v>
      </c>
      <c r="AT2">
        <f>SUMPRODUCT(--(B2:O2=B$8:O$8))</f>
        <v>3</v>
      </c>
      <c r="AU2">
        <f>SUMPRODUCT(--(B2:O2=B$7:O$7))</f>
        <v>6</v>
      </c>
      <c r="AV2">
        <f>SUMPRODUCT(--(B2:O2=B$6:O$6))</f>
        <v>6</v>
      </c>
      <c r="AW2">
        <f>SUMPRODUCT(--(B2:O2=B$5:O$5))</f>
        <v>6</v>
      </c>
      <c r="AX2">
        <f>SUMPRODUCT(--(B2:O2=B$4:O$4))</f>
        <v>3</v>
      </c>
      <c r="AY2">
        <f>SUMPRODUCT(--(B2:O2=B$3:O$3))</f>
        <v>2</v>
      </c>
      <c r="BA2">
        <v>1</v>
      </c>
      <c r="BB2">
        <f t="shared" si="0"/>
        <v>5</v>
      </c>
    </row>
    <row r="3" spans="1:54" x14ac:dyDescent="0.3">
      <c r="A3">
        <v>2</v>
      </c>
      <c r="B3" t="s">
        <v>24</v>
      </c>
      <c r="C3" t="s">
        <v>27</v>
      </c>
      <c r="D3" t="s">
        <v>29</v>
      </c>
      <c r="E3" t="s">
        <v>28</v>
      </c>
      <c r="F3" t="s">
        <v>29</v>
      </c>
      <c r="G3" t="s">
        <v>28</v>
      </c>
      <c r="H3" t="s">
        <v>28</v>
      </c>
      <c r="I3" t="s">
        <v>28</v>
      </c>
      <c r="J3" t="s">
        <v>29</v>
      </c>
      <c r="K3" t="s">
        <v>28</v>
      </c>
      <c r="L3" t="s">
        <v>29</v>
      </c>
      <c r="M3" t="s">
        <v>29</v>
      </c>
      <c r="N3" t="s">
        <v>29</v>
      </c>
      <c r="O3" t="s">
        <v>32</v>
      </c>
      <c r="P3">
        <f t="shared" si="1"/>
        <v>5</v>
      </c>
      <c r="Q3">
        <f t="shared" si="2"/>
        <v>2</v>
      </c>
      <c r="R3">
        <f t="shared" si="3"/>
        <v>7</v>
      </c>
      <c r="S3">
        <f t="shared" ref="S3:S33" si="6">SUM(P3:R3)</f>
        <v>14</v>
      </c>
      <c r="T3" cm="1">
        <f t="array" ref="T3">SUMPRODUCT(--(B3:O3=B$34:O$34))</f>
        <v>6</v>
      </c>
      <c r="U3">
        <f t="shared" si="4"/>
        <v>5</v>
      </c>
      <c r="V3">
        <f t="shared" si="5"/>
        <v>3</v>
      </c>
      <c r="W3">
        <f t="shared" ref="W3:W30" si="7">SUMPRODUCT(--(B3:O3=B$31:O$31))</f>
        <v>4</v>
      </c>
      <c r="X3">
        <f t="shared" ref="X3:X29" si="8">SUMPRODUCT(--(B3:O3=B$30:O$30))</f>
        <v>7</v>
      </c>
      <c r="Y3">
        <f t="shared" ref="Y3:Y28" si="9">SUMPRODUCT(--(B3:O3=B$29:O$29))</f>
        <v>5</v>
      </c>
      <c r="Z3">
        <f t="shared" ref="Z3:Z27" si="10">SUMPRODUCT(--(B3:O3=B$28:O$28))</f>
        <v>6</v>
      </c>
      <c r="AA3">
        <f t="shared" ref="AA3:AA26" si="11">SUMPRODUCT(--(B3:O3=B$27:O$27))</f>
        <v>2</v>
      </c>
      <c r="AB3">
        <f t="shared" ref="AB3:AB25" si="12">SUMPRODUCT(--(B3:O3=B$26:O$26))</f>
        <v>8</v>
      </c>
      <c r="AC3">
        <f t="shared" ref="AC3:AC24" si="13">SUMPRODUCT(--(B3:O3=B$25:O$25))</f>
        <v>4</v>
      </c>
      <c r="AD3">
        <f t="shared" ref="AD3:AD23" si="14">SUMPRODUCT(--(B3:O3=B$24:O$24))</f>
        <v>7</v>
      </c>
      <c r="AE3">
        <f t="shared" ref="AE3:AE22" si="15">SUMPRODUCT(--(B3:O3=B$23:O$23))</f>
        <v>2</v>
      </c>
      <c r="AF3">
        <f t="shared" ref="AF3:AF21" si="16">SUMPRODUCT(--(B3:O3=B$22:O$22))</f>
        <v>7</v>
      </c>
      <c r="AG3">
        <f t="shared" ref="AG3:AG20" si="17">SUMPRODUCT(--(B3:O3=B$21:O$21))</f>
        <v>6</v>
      </c>
      <c r="AH3">
        <f t="shared" ref="AH3:AH19" si="18">SUMPRODUCT(--(B3:O3=B$20:O$20))</f>
        <v>5</v>
      </c>
      <c r="AI3">
        <f t="shared" ref="AI3:AI18" si="19">SUMPRODUCT(--(B3:O3=B$19:O$19))</f>
        <v>5</v>
      </c>
      <c r="AJ3">
        <f t="shared" ref="AJ3:AJ17" si="20">SUMPRODUCT(--(B3:O3=B$18:O$18))</f>
        <v>6</v>
      </c>
      <c r="AK3">
        <f t="shared" ref="AK3:AK16" si="21">SUMPRODUCT(--(B3:O3=B$17:O$17))</f>
        <v>5</v>
      </c>
      <c r="AL3">
        <f t="shared" ref="AL3:AL15" si="22">SUMPRODUCT(--(B3:O3=B$16:O$16))</f>
        <v>3</v>
      </c>
      <c r="AM3">
        <f t="shared" ref="AM3:AM14" si="23">SUMPRODUCT(--(B3:O3=B$15:O$15))</f>
        <v>3</v>
      </c>
      <c r="AN3">
        <f t="shared" ref="AN3:AN13" si="24">SUMPRODUCT(--(B3:O3=B$14:O$14))</f>
        <v>6</v>
      </c>
      <c r="AO3">
        <f t="shared" ref="AO3:AO12" si="25">SUMPRODUCT(--(B3:O3=B$13:O$13))</f>
        <v>4</v>
      </c>
      <c r="AP3">
        <f t="shared" ref="AP3:AP11" si="26">SUMPRODUCT(--(B3:O3=B$12:O$12))</f>
        <v>6</v>
      </c>
      <c r="AQ3">
        <f t="shared" ref="AQ3:AQ10" si="27">SUMPRODUCT(--(B3:O3=B$11:O$11))</f>
        <v>5</v>
      </c>
      <c r="AR3">
        <f t="shared" ref="AR3:AR9" si="28">SUMPRODUCT(--(B3:O3=B$10:O$10))</f>
        <v>6</v>
      </c>
      <c r="AS3">
        <f t="shared" ref="AS3:AS8" si="29">SUMPRODUCT(--(B3:O3=B$9:O$9))</f>
        <v>3</v>
      </c>
      <c r="AT3">
        <f t="shared" ref="AT3:AT7" si="30">SUMPRODUCT(--(B3:O3=B$8:O$8))</f>
        <v>6</v>
      </c>
      <c r="AU3">
        <f t="shared" ref="AU3:AU6" si="31">SUMPRODUCT(--(B3:O3=B$7:O$7))</f>
        <v>3</v>
      </c>
      <c r="AV3">
        <f t="shared" ref="AV3:AV5" si="32">SUMPRODUCT(--(B3:O3=B$6:O$6))</f>
        <v>6</v>
      </c>
      <c r="AW3">
        <f t="shared" ref="AW3:AW4" si="33">SUMPRODUCT(--(B3:O3=B$5:O$5))</f>
        <v>2</v>
      </c>
      <c r="AX3">
        <f>SUMPRODUCT(--(B3:O3=B$4:O$4))</f>
        <v>7</v>
      </c>
      <c r="BA3">
        <v>2</v>
      </c>
      <c r="BB3">
        <f t="shared" si="0"/>
        <v>28</v>
      </c>
    </row>
    <row r="4" spans="1:54" x14ac:dyDescent="0.3">
      <c r="A4">
        <v>3</v>
      </c>
      <c r="B4" t="s">
        <v>26</v>
      </c>
      <c r="C4" t="s">
        <v>28</v>
      </c>
      <c r="D4" t="s">
        <v>29</v>
      </c>
      <c r="E4" t="s">
        <v>27</v>
      </c>
      <c r="F4" t="s">
        <v>29</v>
      </c>
      <c r="G4" t="s">
        <v>27</v>
      </c>
      <c r="H4" t="s">
        <v>28</v>
      </c>
      <c r="I4" t="s">
        <v>27</v>
      </c>
      <c r="J4" t="s">
        <v>29</v>
      </c>
      <c r="K4" t="s">
        <v>28</v>
      </c>
      <c r="L4" t="s">
        <v>29</v>
      </c>
      <c r="M4" t="s">
        <v>29</v>
      </c>
      <c r="N4" t="s">
        <v>28</v>
      </c>
      <c r="O4" t="s">
        <v>30</v>
      </c>
      <c r="P4">
        <f t="shared" si="1"/>
        <v>5</v>
      </c>
      <c r="Q4">
        <f t="shared" si="2"/>
        <v>4</v>
      </c>
      <c r="R4">
        <f t="shared" si="3"/>
        <v>5</v>
      </c>
      <c r="S4">
        <f t="shared" si="6"/>
        <v>14</v>
      </c>
      <c r="T4" cm="1">
        <f t="array" ref="T4">SUMPRODUCT(--(B4:O4=B$34:O$34))</f>
        <v>7</v>
      </c>
      <c r="U4">
        <f t="shared" si="4"/>
        <v>4</v>
      </c>
      <c r="V4">
        <f t="shared" si="5"/>
        <v>4</v>
      </c>
      <c r="W4">
        <f t="shared" si="7"/>
        <v>5</v>
      </c>
      <c r="X4">
        <f t="shared" si="8"/>
        <v>8</v>
      </c>
      <c r="Y4">
        <f t="shared" si="9"/>
        <v>4</v>
      </c>
      <c r="Z4">
        <f t="shared" si="10"/>
        <v>7</v>
      </c>
      <c r="AA4">
        <f t="shared" si="11"/>
        <v>5</v>
      </c>
      <c r="AB4">
        <f t="shared" si="12"/>
        <v>4</v>
      </c>
      <c r="AC4">
        <f t="shared" si="13"/>
        <v>8</v>
      </c>
      <c r="AD4">
        <f t="shared" si="14"/>
        <v>5</v>
      </c>
      <c r="AE4">
        <f t="shared" si="15"/>
        <v>4</v>
      </c>
      <c r="AF4">
        <f t="shared" si="16"/>
        <v>7</v>
      </c>
      <c r="AG4">
        <f t="shared" si="17"/>
        <v>4</v>
      </c>
      <c r="AH4">
        <f t="shared" si="18"/>
        <v>6</v>
      </c>
      <c r="AI4">
        <f t="shared" si="19"/>
        <v>6</v>
      </c>
      <c r="AJ4">
        <f t="shared" si="20"/>
        <v>5</v>
      </c>
      <c r="AK4">
        <f t="shared" si="21"/>
        <v>5</v>
      </c>
      <c r="AL4">
        <f t="shared" si="22"/>
        <v>1</v>
      </c>
      <c r="AM4">
        <f t="shared" si="23"/>
        <v>7</v>
      </c>
      <c r="AN4">
        <f t="shared" si="24"/>
        <v>4</v>
      </c>
      <c r="AO4">
        <f t="shared" si="25"/>
        <v>7</v>
      </c>
      <c r="AP4">
        <f t="shared" si="26"/>
        <v>6</v>
      </c>
      <c r="AQ4">
        <f t="shared" si="27"/>
        <v>2</v>
      </c>
      <c r="AR4">
        <f t="shared" si="28"/>
        <v>5</v>
      </c>
      <c r="AS4">
        <f t="shared" si="29"/>
        <v>7</v>
      </c>
      <c r="AT4">
        <f t="shared" si="30"/>
        <v>4</v>
      </c>
      <c r="AU4">
        <f t="shared" si="31"/>
        <v>6</v>
      </c>
      <c r="AV4">
        <f t="shared" si="32"/>
        <v>4</v>
      </c>
      <c r="AW4">
        <f t="shared" si="33"/>
        <v>4</v>
      </c>
      <c r="BA4">
        <v>3</v>
      </c>
      <c r="BB4">
        <f t="shared" si="0"/>
        <v>62</v>
      </c>
    </row>
    <row r="5" spans="1:54" x14ac:dyDescent="0.3">
      <c r="A5">
        <v>4</v>
      </c>
      <c r="B5" t="s">
        <v>25</v>
      </c>
      <c r="C5" t="s">
        <v>29</v>
      </c>
      <c r="D5" t="s">
        <v>27</v>
      </c>
      <c r="E5" t="s">
        <v>27</v>
      </c>
      <c r="F5" t="s">
        <v>28</v>
      </c>
      <c r="G5" t="s">
        <v>28</v>
      </c>
      <c r="H5" t="s">
        <v>27</v>
      </c>
      <c r="I5" t="s">
        <v>27</v>
      </c>
      <c r="J5" t="s">
        <v>28</v>
      </c>
      <c r="K5" t="s">
        <v>28</v>
      </c>
      <c r="L5" t="s">
        <v>28</v>
      </c>
      <c r="M5" t="s">
        <v>28</v>
      </c>
      <c r="N5" t="s">
        <v>27</v>
      </c>
      <c r="O5" t="s">
        <v>30</v>
      </c>
      <c r="P5">
        <f t="shared" si="1"/>
        <v>8</v>
      </c>
      <c r="Q5">
        <f t="shared" si="2"/>
        <v>5</v>
      </c>
      <c r="R5">
        <f t="shared" si="3"/>
        <v>1</v>
      </c>
      <c r="S5">
        <f t="shared" si="6"/>
        <v>14</v>
      </c>
      <c r="T5" cm="1">
        <f t="array" ref="T5">SUMPRODUCT(--(B5:O5=B$34:O$34))</f>
        <v>7</v>
      </c>
      <c r="U5">
        <f t="shared" si="4"/>
        <v>7</v>
      </c>
      <c r="V5">
        <f t="shared" si="5"/>
        <v>5</v>
      </c>
      <c r="W5">
        <f t="shared" si="7"/>
        <v>2</v>
      </c>
      <c r="X5">
        <f t="shared" si="8"/>
        <v>4</v>
      </c>
      <c r="Y5">
        <f t="shared" si="9"/>
        <v>7</v>
      </c>
      <c r="Z5">
        <f t="shared" si="10"/>
        <v>7</v>
      </c>
      <c r="AA5">
        <f t="shared" si="11"/>
        <v>9</v>
      </c>
      <c r="AB5">
        <f t="shared" si="12"/>
        <v>4</v>
      </c>
      <c r="AC5">
        <f t="shared" si="13"/>
        <v>4</v>
      </c>
      <c r="AD5">
        <f t="shared" si="14"/>
        <v>4</v>
      </c>
      <c r="AE5">
        <f t="shared" si="15"/>
        <v>6</v>
      </c>
      <c r="AF5">
        <f t="shared" si="16"/>
        <v>4</v>
      </c>
      <c r="AG5">
        <f t="shared" si="17"/>
        <v>7</v>
      </c>
      <c r="AH5">
        <f t="shared" si="18"/>
        <v>2</v>
      </c>
      <c r="AI5">
        <f t="shared" si="19"/>
        <v>6</v>
      </c>
      <c r="AJ5">
        <f t="shared" si="20"/>
        <v>4</v>
      </c>
      <c r="AK5">
        <f t="shared" si="21"/>
        <v>6</v>
      </c>
      <c r="AL5">
        <f t="shared" si="22"/>
        <v>7</v>
      </c>
      <c r="AM5">
        <f t="shared" si="23"/>
        <v>5</v>
      </c>
      <c r="AN5">
        <f t="shared" si="24"/>
        <v>6</v>
      </c>
      <c r="AO5">
        <f t="shared" si="25"/>
        <v>5</v>
      </c>
      <c r="AP5">
        <f t="shared" si="26"/>
        <v>7</v>
      </c>
      <c r="AQ5">
        <f t="shared" si="27"/>
        <v>8</v>
      </c>
      <c r="AR5">
        <f t="shared" si="28"/>
        <v>3</v>
      </c>
      <c r="AS5">
        <f t="shared" si="29"/>
        <v>2</v>
      </c>
      <c r="AT5">
        <f t="shared" si="30"/>
        <v>4</v>
      </c>
      <c r="AU5">
        <f t="shared" si="31"/>
        <v>5</v>
      </c>
      <c r="AV5">
        <f t="shared" si="32"/>
        <v>3</v>
      </c>
      <c r="BA5">
        <v>4</v>
      </c>
      <c r="BB5">
        <f t="shared" si="0"/>
        <v>90</v>
      </c>
    </row>
    <row r="6" spans="1:54" x14ac:dyDescent="0.3">
      <c r="A6">
        <v>5</v>
      </c>
      <c r="B6" t="s">
        <v>25</v>
      </c>
      <c r="C6" t="s">
        <v>27</v>
      </c>
      <c r="D6" t="s">
        <v>28</v>
      </c>
      <c r="E6" t="s">
        <v>28</v>
      </c>
      <c r="F6" t="s">
        <v>27</v>
      </c>
      <c r="G6" t="s">
        <v>28</v>
      </c>
      <c r="H6" t="s">
        <v>28</v>
      </c>
      <c r="I6" t="s">
        <v>29</v>
      </c>
      <c r="J6" t="s">
        <v>28</v>
      </c>
      <c r="K6" t="s">
        <v>29</v>
      </c>
      <c r="L6" t="s">
        <v>29</v>
      </c>
      <c r="M6" t="s">
        <v>29</v>
      </c>
      <c r="N6" t="s">
        <v>28</v>
      </c>
      <c r="O6" t="s">
        <v>31</v>
      </c>
      <c r="P6">
        <f t="shared" si="1"/>
        <v>7</v>
      </c>
      <c r="Q6">
        <f t="shared" si="2"/>
        <v>2</v>
      </c>
      <c r="R6">
        <f t="shared" si="3"/>
        <v>5</v>
      </c>
      <c r="S6">
        <f t="shared" si="6"/>
        <v>14</v>
      </c>
      <c r="T6" cm="1">
        <f t="array" ref="T6">SUMPRODUCT(--(B6:O6=B$34:O$34))</f>
        <v>8</v>
      </c>
      <c r="U6">
        <f t="shared" si="4"/>
        <v>7</v>
      </c>
      <c r="V6">
        <f t="shared" si="5"/>
        <v>4</v>
      </c>
      <c r="W6">
        <f t="shared" si="7"/>
        <v>7</v>
      </c>
      <c r="X6">
        <f t="shared" si="8"/>
        <v>5</v>
      </c>
      <c r="Y6">
        <f t="shared" si="9"/>
        <v>7</v>
      </c>
      <c r="Z6">
        <f t="shared" si="10"/>
        <v>7</v>
      </c>
      <c r="AA6">
        <f t="shared" si="11"/>
        <v>3</v>
      </c>
      <c r="AB6">
        <f t="shared" si="12"/>
        <v>8</v>
      </c>
      <c r="AC6">
        <f t="shared" si="13"/>
        <v>5</v>
      </c>
      <c r="AD6">
        <f t="shared" si="14"/>
        <v>8</v>
      </c>
      <c r="AE6">
        <f t="shared" si="15"/>
        <v>4</v>
      </c>
      <c r="AF6">
        <f t="shared" si="16"/>
        <v>4</v>
      </c>
      <c r="AG6">
        <f t="shared" si="17"/>
        <v>6</v>
      </c>
      <c r="AH6">
        <f t="shared" si="18"/>
        <v>4</v>
      </c>
      <c r="AI6">
        <f t="shared" si="19"/>
        <v>7</v>
      </c>
      <c r="AJ6">
        <f t="shared" si="20"/>
        <v>8</v>
      </c>
      <c r="AK6">
        <f t="shared" si="21"/>
        <v>6</v>
      </c>
      <c r="AL6">
        <f t="shared" si="22"/>
        <v>5</v>
      </c>
      <c r="AM6">
        <f t="shared" si="23"/>
        <v>4</v>
      </c>
      <c r="AN6">
        <f t="shared" si="24"/>
        <v>6</v>
      </c>
      <c r="AO6">
        <f t="shared" si="25"/>
        <v>6</v>
      </c>
      <c r="AP6">
        <f t="shared" si="26"/>
        <v>4</v>
      </c>
      <c r="AQ6">
        <f t="shared" si="27"/>
        <v>5</v>
      </c>
      <c r="AR6">
        <f t="shared" si="28"/>
        <v>6</v>
      </c>
      <c r="AS6">
        <f t="shared" si="29"/>
        <v>3</v>
      </c>
      <c r="AT6">
        <f t="shared" si="30"/>
        <v>5</v>
      </c>
      <c r="AU6">
        <f t="shared" si="31"/>
        <v>1</v>
      </c>
      <c r="BA6">
        <v>5</v>
      </c>
      <c r="BB6">
        <f t="shared" si="0"/>
        <v>121</v>
      </c>
    </row>
    <row r="7" spans="1:54" x14ac:dyDescent="0.3">
      <c r="A7">
        <v>6</v>
      </c>
      <c r="B7" t="s">
        <v>26</v>
      </c>
      <c r="C7" t="s">
        <v>28</v>
      </c>
      <c r="D7" t="s">
        <v>29</v>
      </c>
      <c r="E7" t="s">
        <v>29</v>
      </c>
      <c r="F7" t="s">
        <v>28</v>
      </c>
      <c r="G7" t="s">
        <v>27</v>
      </c>
      <c r="H7" t="s">
        <v>27</v>
      </c>
      <c r="I7" t="s">
        <v>29</v>
      </c>
      <c r="J7" t="s">
        <v>29</v>
      </c>
      <c r="K7" t="s">
        <v>27</v>
      </c>
      <c r="L7" t="s">
        <v>28</v>
      </c>
      <c r="M7" t="s">
        <v>28</v>
      </c>
      <c r="N7" t="s">
        <v>29</v>
      </c>
      <c r="O7" t="s">
        <v>30</v>
      </c>
      <c r="P7">
        <f t="shared" si="1"/>
        <v>5</v>
      </c>
      <c r="Q7">
        <f t="shared" si="2"/>
        <v>4</v>
      </c>
      <c r="R7">
        <f t="shared" si="3"/>
        <v>5</v>
      </c>
      <c r="S7">
        <f t="shared" si="6"/>
        <v>14</v>
      </c>
      <c r="T7" cm="1">
        <f t="array" ref="T7">SUMPRODUCT(--(B7:O7=B$34:O$34))</f>
        <v>6</v>
      </c>
      <c r="U7">
        <f t="shared" si="4"/>
        <v>3</v>
      </c>
      <c r="V7">
        <f t="shared" si="5"/>
        <v>6</v>
      </c>
      <c r="W7">
        <f t="shared" si="7"/>
        <v>6</v>
      </c>
      <c r="X7">
        <f t="shared" si="8"/>
        <v>3</v>
      </c>
      <c r="Y7">
        <f t="shared" si="9"/>
        <v>6</v>
      </c>
      <c r="Z7">
        <f t="shared" si="10"/>
        <v>3</v>
      </c>
      <c r="AA7">
        <f t="shared" si="11"/>
        <v>6</v>
      </c>
      <c r="AB7">
        <f t="shared" si="12"/>
        <v>6</v>
      </c>
      <c r="AC7">
        <f t="shared" si="13"/>
        <v>8</v>
      </c>
      <c r="AD7">
        <f t="shared" si="14"/>
        <v>2</v>
      </c>
      <c r="AE7">
        <f t="shared" si="15"/>
        <v>5</v>
      </c>
      <c r="AF7">
        <f t="shared" si="16"/>
        <v>5</v>
      </c>
      <c r="AG7">
        <f t="shared" si="17"/>
        <v>3</v>
      </c>
      <c r="AH7">
        <f t="shared" si="18"/>
        <v>6</v>
      </c>
      <c r="AI7">
        <f t="shared" si="19"/>
        <v>3</v>
      </c>
      <c r="AJ7">
        <f t="shared" si="20"/>
        <v>5</v>
      </c>
      <c r="AK7">
        <f t="shared" si="21"/>
        <v>6</v>
      </c>
      <c r="AL7">
        <f t="shared" si="22"/>
        <v>4</v>
      </c>
      <c r="AM7">
        <f t="shared" si="23"/>
        <v>6</v>
      </c>
      <c r="AN7">
        <f t="shared" si="24"/>
        <v>6</v>
      </c>
      <c r="AO7">
        <f t="shared" si="25"/>
        <v>8</v>
      </c>
      <c r="AP7">
        <f t="shared" si="26"/>
        <v>5</v>
      </c>
      <c r="AQ7">
        <f t="shared" si="27"/>
        <v>2</v>
      </c>
      <c r="AR7">
        <f t="shared" si="28"/>
        <v>2</v>
      </c>
      <c r="AS7">
        <f t="shared" si="29"/>
        <v>7</v>
      </c>
      <c r="AT7">
        <f t="shared" si="30"/>
        <v>6</v>
      </c>
      <c r="BA7">
        <v>6</v>
      </c>
      <c r="BB7">
        <f t="shared" si="0"/>
        <v>88</v>
      </c>
    </row>
    <row r="8" spans="1:54" x14ac:dyDescent="0.3">
      <c r="A8">
        <v>7</v>
      </c>
      <c r="B8" t="s">
        <v>25</v>
      </c>
      <c r="C8" t="s">
        <v>27</v>
      </c>
      <c r="D8" t="s">
        <v>29</v>
      </c>
      <c r="E8" t="s">
        <v>29</v>
      </c>
      <c r="F8" t="s">
        <v>28</v>
      </c>
      <c r="G8" t="s">
        <v>29</v>
      </c>
      <c r="H8" t="s">
        <v>28</v>
      </c>
      <c r="I8" t="s">
        <v>28</v>
      </c>
      <c r="J8" t="s">
        <v>28</v>
      </c>
      <c r="K8" t="s">
        <v>27</v>
      </c>
      <c r="L8" t="s">
        <v>27</v>
      </c>
      <c r="M8" t="s">
        <v>29</v>
      </c>
      <c r="N8" t="s">
        <v>29</v>
      </c>
      <c r="O8" t="s">
        <v>30</v>
      </c>
      <c r="P8">
        <f t="shared" si="1"/>
        <v>6</v>
      </c>
      <c r="Q8">
        <f t="shared" si="2"/>
        <v>3</v>
      </c>
      <c r="R8">
        <f t="shared" si="3"/>
        <v>5</v>
      </c>
      <c r="S8">
        <f t="shared" si="6"/>
        <v>14</v>
      </c>
      <c r="T8" cm="1">
        <f t="array" ref="T8">SUMPRODUCT(--(B8:O8=B$34:O$34))</f>
        <v>7</v>
      </c>
      <c r="U8">
        <f t="shared" si="4"/>
        <v>5</v>
      </c>
      <c r="V8">
        <f t="shared" si="5"/>
        <v>5</v>
      </c>
      <c r="W8">
        <f t="shared" si="7"/>
        <v>4</v>
      </c>
      <c r="X8">
        <f t="shared" si="8"/>
        <v>5</v>
      </c>
      <c r="Y8">
        <f t="shared" si="9"/>
        <v>4</v>
      </c>
      <c r="Z8">
        <f t="shared" si="10"/>
        <v>7</v>
      </c>
      <c r="AA8">
        <f t="shared" si="11"/>
        <v>7</v>
      </c>
      <c r="AB8">
        <f t="shared" si="12"/>
        <v>5</v>
      </c>
      <c r="AC8">
        <f t="shared" si="13"/>
        <v>7</v>
      </c>
      <c r="AD8">
        <f t="shared" si="14"/>
        <v>2</v>
      </c>
      <c r="AE8">
        <f t="shared" si="15"/>
        <v>7</v>
      </c>
      <c r="AF8">
        <f t="shared" si="16"/>
        <v>5</v>
      </c>
      <c r="AG8">
        <f t="shared" si="17"/>
        <v>7</v>
      </c>
      <c r="AH8">
        <f t="shared" si="18"/>
        <v>4</v>
      </c>
      <c r="AI8">
        <f t="shared" si="19"/>
        <v>7</v>
      </c>
      <c r="AJ8">
        <f t="shared" si="20"/>
        <v>3</v>
      </c>
      <c r="AK8">
        <f t="shared" si="21"/>
        <v>7</v>
      </c>
      <c r="AL8">
        <f t="shared" si="22"/>
        <v>6</v>
      </c>
      <c r="AM8">
        <f t="shared" si="23"/>
        <v>3</v>
      </c>
      <c r="AN8">
        <f t="shared" si="24"/>
        <v>8</v>
      </c>
      <c r="AO8">
        <f t="shared" si="25"/>
        <v>5</v>
      </c>
      <c r="AP8">
        <f t="shared" si="26"/>
        <v>3</v>
      </c>
      <c r="AQ8">
        <f t="shared" si="27"/>
        <v>3</v>
      </c>
      <c r="AR8">
        <f t="shared" si="28"/>
        <v>4</v>
      </c>
      <c r="AS8">
        <f t="shared" si="29"/>
        <v>2</v>
      </c>
      <c r="BA8">
        <v>7</v>
      </c>
      <c r="BB8">
        <f t="shared" si="0"/>
        <v>63</v>
      </c>
    </row>
    <row r="9" spans="1:54" x14ac:dyDescent="0.3">
      <c r="A9">
        <v>8</v>
      </c>
      <c r="B9" t="s">
        <v>26</v>
      </c>
      <c r="C9" t="s">
        <v>28</v>
      </c>
      <c r="D9" t="s">
        <v>29</v>
      </c>
      <c r="E9" t="s">
        <v>29</v>
      </c>
      <c r="F9" t="s">
        <v>29</v>
      </c>
      <c r="G9" t="s">
        <v>27</v>
      </c>
      <c r="H9" t="s">
        <v>29</v>
      </c>
      <c r="I9" t="s">
        <v>29</v>
      </c>
      <c r="J9" t="s">
        <v>27</v>
      </c>
      <c r="K9" t="s">
        <v>28</v>
      </c>
      <c r="L9" t="s">
        <v>28</v>
      </c>
      <c r="M9" t="s">
        <v>27</v>
      </c>
      <c r="N9" t="s">
        <v>28</v>
      </c>
      <c r="O9" t="s">
        <v>31</v>
      </c>
      <c r="P9">
        <f t="shared" si="1"/>
        <v>4</v>
      </c>
      <c r="Q9">
        <f t="shared" si="2"/>
        <v>4</v>
      </c>
      <c r="R9">
        <f t="shared" si="3"/>
        <v>6</v>
      </c>
      <c r="S9">
        <f t="shared" si="6"/>
        <v>14</v>
      </c>
      <c r="T9" cm="1">
        <f t="array" ref="T9">SUMPRODUCT(--(B9:O9=B$34:O$34))</f>
        <v>6</v>
      </c>
      <c r="U9">
        <f t="shared" si="4"/>
        <v>4</v>
      </c>
      <c r="V9">
        <f t="shared" si="5"/>
        <v>5</v>
      </c>
      <c r="W9">
        <f t="shared" si="7"/>
        <v>9</v>
      </c>
      <c r="X9">
        <f t="shared" si="8"/>
        <v>5</v>
      </c>
      <c r="Y9">
        <f t="shared" si="9"/>
        <v>4</v>
      </c>
      <c r="Z9">
        <f t="shared" si="10"/>
        <v>2</v>
      </c>
      <c r="AA9">
        <f t="shared" si="11"/>
        <v>2</v>
      </c>
      <c r="AB9">
        <f t="shared" si="12"/>
        <v>5</v>
      </c>
      <c r="AC9">
        <f t="shared" si="13"/>
        <v>7</v>
      </c>
      <c r="AD9">
        <f t="shared" si="14"/>
        <v>5</v>
      </c>
      <c r="AE9">
        <f t="shared" si="15"/>
        <v>5</v>
      </c>
      <c r="AF9">
        <f t="shared" si="16"/>
        <v>5</v>
      </c>
      <c r="AG9">
        <f t="shared" si="17"/>
        <v>5</v>
      </c>
      <c r="AH9">
        <f t="shared" si="18"/>
        <v>6</v>
      </c>
      <c r="AI9">
        <f t="shared" si="19"/>
        <v>3</v>
      </c>
      <c r="AJ9">
        <f t="shared" si="20"/>
        <v>7</v>
      </c>
      <c r="AK9">
        <f t="shared" si="21"/>
        <v>4</v>
      </c>
      <c r="AL9">
        <f t="shared" si="22"/>
        <v>4</v>
      </c>
      <c r="AM9">
        <f t="shared" si="23"/>
        <v>8</v>
      </c>
      <c r="AN9">
        <f t="shared" si="24"/>
        <v>3</v>
      </c>
      <c r="AO9">
        <f t="shared" si="25"/>
        <v>4</v>
      </c>
      <c r="AP9">
        <f t="shared" si="26"/>
        <v>7</v>
      </c>
      <c r="AQ9">
        <f t="shared" si="27"/>
        <v>2</v>
      </c>
      <c r="AR9">
        <f t="shared" si="28"/>
        <v>5</v>
      </c>
      <c r="BA9">
        <v>8</v>
      </c>
      <c r="BB9">
        <f t="shared" si="0"/>
        <v>32</v>
      </c>
    </row>
    <row r="10" spans="1:54" x14ac:dyDescent="0.3">
      <c r="A10">
        <v>9</v>
      </c>
      <c r="B10" t="s">
        <v>24</v>
      </c>
      <c r="C10" t="s">
        <v>28</v>
      </c>
      <c r="D10" t="s">
        <v>28</v>
      </c>
      <c r="E10" t="s">
        <v>28</v>
      </c>
      <c r="F10" t="s">
        <v>27</v>
      </c>
      <c r="G10" t="s">
        <v>28</v>
      </c>
      <c r="H10" t="s">
        <v>28</v>
      </c>
      <c r="I10" t="s">
        <v>28</v>
      </c>
      <c r="J10" t="s">
        <v>27</v>
      </c>
      <c r="K10" t="s">
        <v>28</v>
      </c>
      <c r="L10" t="s">
        <v>27</v>
      </c>
      <c r="M10" t="s">
        <v>27</v>
      </c>
      <c r="N10" t="s">
        <v>28</v>
      </c>
      <c r="O10" t="s">
        <v>30</v>
      </c>
      <c r="P10">
        <f t="shared" si="1"/>
        <v>9</v>
      </c>
      <c r="Q10">
        <f t="shared" si="2"/>
        <v>4</v>
      </c>
      <c r="R10">
        <f t="shared" si="3"/>
        <v>1</v>
      </c>
      <c r="S10">
        <f t="shared" si="6"/>
        <v>14</v>
      </c>
      <c r="T10" cm="1">
        <f t="array" ref="T10">SUMPRODUCT(--(B10:O10=B$34:O$34))</f>
        <v>7</v>
      </c>
      <c r="U10">
        <f t="shared" si="4"/>
        <v>5</v>
      </c>
      <c r="V10">
        <f t="shared" si="5"/>
        <v>6</v>
      </c>
      <c r="W10">
        <f t="shared" si="7"/>
        <v>3</v>
      </c>
      <c r="X10">
        <f t="shared" si="8"/>
        <v>8</v>
      </c>
      <c r="Y10">
        <f t="shared" si="9"/>
        <v>7</v>
      </c>
      <c r="Z10">
        <f t="shared" si="10"/>
        <v>3</v>
      </c>
      <c r="AA10">
        <f t="shared" si="11"/>
        <v>5</v>
      </c>
      <c r="AB10">
        <f t="shared" si="12"/>
        <v>2</v>
      </c>
      <c r="AC10">
        <f t="shared" si="13"/>
        <v>4</v>
      </c>
      <c r="AD10">
        <f t="shared" si="14"/>
        <v>7</v>
      </c>
      <c r="AE10">
        <f t="shared" si="15"/>
        <v>4</v>
      </c>
      <c r="AF10">
        <f t="shared" si="16"/>
        <v>8</v>
      </c>
      <c r="AG10">
        <f t="shared" si="17"/>
        <v>7</v>
      </c>
      <c r="AH10">
        <f t="shared" si="18"/>
        <v>7</v>
      </c>
      <c r="AI10">
        <f t="shared" si="19"/>
        <v>2</v>
      </c>
      <c r="AJ10">
        <f t="shared" si="20"/>
        <v>7</v>
      </c>
      <c r="AK10">
        <f t="shared" si="21"/>
        <v>5</v>
      </c>
      <c r="AL10">
        <f t="shared" si="22"/>
        <v>4</v>
      </c>
      <c r="AM10">
        <f t="shared" si="23"/>
        <v>6</v>
      </c>
      <c r="AN10">
        <f t="shared" si="24"/>
        <v>5</v>
      </c>
      <c r="AO10">
        <f t="shared" si="25"/>
        <v>4</v>
      </c>
      <c r="AP10">
        <f t="shared" si="26"/>
        <v>5</v>
      </c>
      <c r="AQ10">
        <f t="shared" si="27"/>
        <v>3</v>
      </c>
      <c r="BA10">
        <v>9</v>
      </c>
      <c r="BB10">
        <f t="shared" si="0"/>
        <v>5</v>
      </c>
    </row>
    <row r="11" spans="1:54" x14ac:dyDescent="0.3">
      <c r="A11">
        <v>10</v>
      </c>
      <c r="B11" t="s">
        <v>24</v>
      </c>
      <c r="C11" t="s">
        <v>29</v>
      </c>
      <c r="D11" t="s">
        <v>27</v>
      </c>
      <c r="E11" t="s">
        <v>28</v>
      </c>
      <c r="F11" t="s">
        <v>28</v>
      </c>
      <c r="G11" t="s">
        <v>28</v>
      </c>
      <c r="H11" t="s">
        <v>29</v>
      </c>
      <c r="I11" t="s">
        <v>27</v>
      </c>
      <c r="J11" t="s">
        <v>28</v>
      </c>
      <c r="K11" t="s">
        <v>29</v>
      </c>
      <c r="L11" t="s">
        <v>28</v>
      </c>
      <c r="M11" t="s">
        <v>29</v>
      </c>
      <c r="N11" t="s">
        <v>27</v>
      </c>
      <c r="O11" t="s">
        <v>32</v>
      </c>
      <c r="P11">
        <f t="shared" si="1"/>
        <v>5</v>
      </c>
      <c r="Q11">
        <f t="shared" si="2"/>
        <v>4</v>
      </c>
      <c r="R11">
        <f t="shared" si="3"/>
        <v>5</v>
      </c>
      <c r="S11">
        <f t="shared" si="6"/>
        <v>14</v>
      </c>
      <c r="T11" cm="1">
        <f t="array" ref="T11">SUMPRODUCT(--(B11:O11=B$34:O$34))</f>
        <v>6</v>
      </c>
      <c r="U11">
        <f t="shared" si="4"/>
        <v>8</v>
      </c>
      <c r="V11">
        <f t="shared" si="5"/>
        <v>4</v>
      </c>
      <c r="W11">
        <f t="shared" si="7"/>
        <v>6</v>
      </c>
      <c r="X11">
        <f t="shared" si="8"/>
        <v>2</v>
      </c>
      <c r="Y11">
        <f t="shared" si="9"/>
        <v>5</v>
      </c>
      <c r="Z11">
        <f t="shared" si="10"/>
        <v>7</v>
      </c>
      <c r="AA11">
        <f t="shared" si="11"/>
        <v>3</v>
      </c>
      <c r="AB11">
        <f t="shared" si="12"/>
        <v>5</v>
      </c>
      <c r="AC11">
        <f t="shared" si="13"/>
        <v>3</v>
      </c>
      <c r="AD11">
        <f t="shared" si="14"/>
        <v>8</v>
      </c>
      <c r="AE11">
        <f t="shared" si="15"/>
        <v>6</v>
      </c>
      <c r="AF11">
        <f t="shared" si="16"/>
        <v>5</v>
      </c>
      <c r="AG11">
        <f t="shared" si="17"/>
        <v>4</v>
      </c>
      <c r="AH11">
        <f t="shared" si="18"/>
        <v>3</v>
      </c>
      <c r="AI11">
        <f t="shared" si="19"/>
        <v>6</v>
      </c>
      <c r="AJ11">
        <f t="shared" si="20"/>
        <v>4</v>
      </c>
      <c r="AK11">
        <f t="shared" si="21"/>
        <v>6</v>
      </c>
      <c r="AL11">
        <f t="shared" si="22"/>
        <v>5</v>
      </c>
      <c r="AM11">
        <f t="shared" si="23"/>
        <v>3</v>
      </c>
      <c r="AN11">
        <f t="shared" si="24"/>
        <v>4</v>
      </c>
      <c r="AO11">
        <f t="shared" si="25"/>
        <v>4</v>
      </c>
      <c r="AP11">
        <f t="shared" si="26"/>
        <v>4</v>
      </c>
      <c r="BA11">
        <v>10</v>
      </c>
      <c r="BB11">
        <f t="shared" si="0"/>
        <v>1</v>
      </c>
    </row>
    <row r="12" spans="1:54" x14ac:dyDescent="0.3">
      <c r="A12">
        <v>11</v>
      </c>
      <c r="B12" t="s">
        <v>25</v>
      </c>
      <c r="C12" t="s">
        <v>28</v>
      </c>
      <c r="D12" t="s">
        <v>29</v>
      </c>
      <c r="E12" t="s">
        <v>27</v>
      </c>
      <c r="F12" t="s">
        <v>29</v>
      </c>
      <c r="G12" t="s">
        <v>28</v>
      </c>
      <c r="H12" t="s">
        <v>28</v>
      </c>
      <c r="I12" t="s">
        <v>29</v>
      </c>
      <c r="J12" t="s">
        <v>27</v>
      </c>
      <c r="K12" t="s">
        <v>28</v>
      </c>
      <c r="L12" t="s">
        <v>28</v>
      </c>
      <c r="M12" t="s">
        <v>28</v>
      </c>
      <c r="N12" t="s">
        <v>27</v>
      </c>
      <c r="O12" t="s">
        <v>32</v>
      </c>
      <c r="P12">
        <f t="shared" si="1"/>
        <v>7</v>
      </c>
      <c r="Q12">
        <f t="shared" si="2"/>
        <v>4</v>
      </c>
      <c r="R12">
        <f t="shared" si="3"/>
        <v>3</v>
      </c>
      <c r="S12">
        <f t="shared" si="6"/>
        <v>14</v>
      </c>
      <c r="T12" cm="1">
        <f t="array" ref="T12">SUMPRODUCT(--(B12:O12=B$34:O$34))</f>
        <v>8</v>
      </c>
      <c r="U12">
        <f t="shared" si="4"/>
        <v>5</v>
      </c>
      <c r="V12">
        <f t="shared" si="5"/>
        <v>5</v>
      </c>
      <c r="W12">
        <f t="shared" si="7"/>
        <v>4</v>
      </c>
      <c r="X12">
        <f t="shared" si="8"/>
        <v>5</v>
      </c>
      <c r="Y12">
        <f t="shared" si="9"/>
        <v>6</v>
      </c>
      <c r="Z12">
        <f t="shared" si="10"/>
        <v>6</v>
      </c>
      <c r="AA12">
        <f t="shared" si="11"/>
        <v>5</v>
      </c>
      <c r="AB12">
        <f t="shared" si="12"/>
        <v>6</v>
      </c>
      <c r="AC12">
        <f t="shared" si="13"/>
        <v>6</v>
      </c>
      <c r="AD12">
        <f t="shared" si="14"/>
        <v>5</v>
      </c>
      <c r="AE12">
        <f t="shared" si="15"/>
        <v>5</v>
      </c>
      <c r="AF12">
        <f t="shared" si="16"/>
        <v>5</v>
      </c>
      <c r="AG12">
        <f t="shared" si="17"/>
        <v>7</v>
      </c>
      <c r="AH12">
        <f t="shared" si="18"/>
        <v>4</v>
      </c>
      <c r="AI12">
        <f t="shared" si="19"/>
        <v>5</v>
      </c>
      <c r="AJ12">
        <f t="shared" si="20"/>
        <v>5</v>
      </c>
      <c r="AK12">
        <f t="shared" si="21"/>
        <v>3</v>
      </c>
      <c r="AL12">
        <f t="shared" si="22"/>
        <v>3</v>
      </c>
      <c r="AM12">
        <f t="shared" si="23"/>
        <v>5</v>
      </c>
      <c r="AN12">
        <f t="shared" si="24"/>
        <v>7</v>
      </c>
      <c r="AO12">
        <f t="shared" si="25"/>
        <v>3</v>
      </c>
      <c r="BA12">
        <v>11</v>
      </c>
      <c r="BB12">
        <f t="shared" si="0"/>
        <v>0</v>
      </c>
    </row>
    <row r="13" spans="1:54" x14ac:dyDescent="0.3">
      <c r="A13">
        <v>12</v>
      </c>
      <c r="B13" t="s">
        <v>25</v>
      </c>
      <c r="C13" t="s">
        <v>28</v>
      </c>
      <c r="D13" t="s">
        <v>27</v>
      </c>
      <c r="E13" t="s">
        <v>28</v>
      </c>
      <c r="F13" t="s">
        <v>28</v>
      </c>
      <c r="G13" t="s">
        <v>27</v>
      </c>
      <c r="H13" t="s">
        <v>27</v>
      </c>
      <c r="I13" t="s">
        <v>29</v>
      </c>
      <c r="J13" t="s">
        <v>29</v>
      </c>
      <c r="K13" t="s">
        <v>27</v>
      </c>
      <c r="L13" t="s">
        <v>29</v>
      </c>
      <c r="M13" t="s">
        <v>29</v>
      </c>
      <c r="N13" t="s">
        <v>28</v>
      </c>
      <c r="O13" t="s">
        <v>30</v>
      </c>
      <c r="P13">
        <f t="shared" si="1"/>
        <v>6</v>
      </c>
      <c r="Q13">
        <f t="shared" si="2"/>
        <v>4</v>
      </c>
      <c r="R13">
        <f t="shared" si="3"/>
        <v>4</v>
      </c>
      <c r="S13">
        <f t="shared" si="6"/>
        <v>14</v>
      </c>
      <c r="T13" cm="1">
        <f t="array" ref="T13">SUMPRODUCT(--(B13:O13=B$34:O$34))</f>
        <v>8</v>
      </c>
      <c r="U13">
        <f t="shared" si="4"/>
        <v>5</v>
      </c>
      <c r="V13">
        <f t="shared" si="5"/>
        <v>5</v>
      </c>
      <c r="W13">
        <f t="shared" si="7"/>
        <v>6</v>
      </c>
      <c r="X13">
        <f t="shared" si="8"/>
        <v>8</v>
      </c>
      <c r="Y13">
        <f t="shared" si="9"/>
        <v>3</v>
      </c>
      <c r="Z13">
        <f t="shared" si="10"/>
        <v>6</v>
      </c>
      <c r="AA13">
        <f t="shared" si="11"/>
        <v>5</v>
      </c>
      <c r="AB13">
        <f t="shared" si="12"/>
        <v>6</v>
      </c>
      <c r="AC13">
        <f t="shared" si="13"/>
        <v>7</v>
      </c>
      <c r="AD13">
        <f t="shared" si="14"/>
        <v>7</v>
      </c>
      <c r="AE13">
        <f t="shared" si="15"/>
        <v>6</v>
      </c>
      <c r="AF13">
        <f t="shared" si="16"/>
        <v>5</v>
      </c>
      <c r="AG13">
        <f t="shared" si="17"/>
        <v>2</v>
      </c>
      <c r="AH13">
        <f t="shared" si="18"/>
        <v>7</v>
      </c>
      <c r="AI13">
        <f t="shared" si="19"/>
        <v>5</v>
      </c>
      <c r="AJ13">
        <f t="shared" si="20"/>
        <v>5</v>
      </c>
      <c r="AK13">
        <f t="shared" si="21"/>
        <v>5</v>
      </c>
      <c r="AL13">
        <f t="shared" si="22"/>
        <v>6</v>
      </c>
      <c r="AM13">
        <f t="shared" si="23"/>
        <v>6</v>
      </c>
      <c r="AN13">
        <f t="shared" si="24"/>
        <v>5</v>
      </c>
      <c r="BA13">
        <v>12</v>
      </c>
      <c r="BB13">
        <f t="shared" si="0"/>
        <v>0</v>
      </c>
    </row>
    <row r="14" spans="1:54" x14ac:dyDescent="0.3">
      <c r="A14">
        <v>13</v>
      </c>
      <c r="B14" t="s">
        <v>25</v>
      </c>
      <c r="C14" t="s">
        <v>29</v>
      </c>
      <c r="D14" t="s">
        <v>29</v>
      </c>
      <c r="E14" t="s">
        <v>28</v>
      </c>
      <c r="F14" t="s">
        <v>29</v>
      </c>
      <c r="G14" t="s">
        <v>28</v>
      </c>
      <c r="H14" t="s">
        <v>28</v>
      </c>
      <c r="I14" t="s">
        <v>29</v>
      </c>
      <c r="J14" t="s">
        <v>28</v>
      </c>
      <c r="K14" t="s">
        <v>27</v>
      </c>
      <c r="L14" t="s">
        <v>27</v>
      </c>
      <c r="M14" t="s">
        <v>28</v>
      </c>
      <c r="N14" t="s">
        <v>29</v>
      </c>
      <c r="O14" t="s">
        <v>30</v>
      </c>
      <c r="P14">
        <f t="shared" si="1"/>
        <v>7</v>
      </c>
      <c r="Q14">
        <f t="shared" si="2"/>
        <v>2</v>
      </c>
      <c r="R14">
        <f t="shared" si="3"/>
        <v>5</v>
      </c>
      <c r="S14">
        <f t="shared" si="6"/>
        <v>14</v>
      </c>
      <c r="T14" cm="1">
        <f t="array" ref="T14">SUMPRODUCT(--(B14:O14=B$34:O$34))</f>
        <v>8</v>
      </c>
      <c r="U14">
        <f t="shared" si="4"/>
        <v>7</v>
      </c>
      <c r="V14">
        <f t="shared" si="5"/>
        <v>5</v>
      </c>
      <c r="W14">
        <f t="shared" si="7"/>
        <v>3</v>
      </c>
      <c r="X14">
        <f t="shared" si="8"/>
        <v>5</v>
      </c>
      <c r="Y14">
        <f t="shared" si="9"/>
        <v>9</v>
      </c>
      <c r="Z14">
        <f t="shared" si="10"/>
        <v>7</v>
      </c>
      <c r="AA14">
        <f t="shared" si="11"/>
        <v>6</v>
      </c>
      <c r="AB14">
        <f t="shared" si="12"/>
        <v>7</v>
      </c>
      <c r="AC14">
        <f t="shared" si="13"/>
        <v>5</v>
      </c>
      <c r="AD14">
        <f t="shared" si="14"/>
        <v>4</v>
      </c>
      <c r="AE14">
        <f t="shared" si="15"/>
        <v>4</v>
      </c>
      <c r="AF14">
        <f t="shared" si="16"/>
        <v>5</v>
      </c>
      <c r="AG14">
        <f t="shared" si="17"/>
        <v>6</v>
      </c>
      <c r="AH14">
        <f t="shared" si="18"/>
        <v>6</v>
      </c>
      <c r="AI14">
        <f t="shared" si="19"/>
        <v>5</v>
      </c>
      <c r="AJ14">
        <f t="shared" si="20"/>
        <v>4</v>
      </c>
      <c r="AK14">
        <f t="shared" si="21"/>
        <v>5</v>
      </c>
      <c r="AL14">
        <f t="shared" si="22"/>
        <v>7</v>
      </c>
      <c r="AM14">
        <f t="shared" si="23"/>
        <v>0</v>
      </c>
      <c r="BA14">
        <v>13</v>
      </c>
      <c r="BB14">
        <f t="shared" si="0"/>
        <v>0</v>
      </c>
    </row>
    <row r="15" spans="1:54" x14ac:dyDescent="0.3">
      <c r="A15">
        <v>14</v>
      </c>
      <c r="B15" t="s">
        <v>26</v>
      </c>
      <c r="C15" t="s">
        <v>28</v>
      </c>
      <c r="D15" t="s">
        <v>28</v>
      </c>
      <c r="E15" t="s">
        <v>27</v>
      </c>
      <c r="F15" t="s">
        <v>28</v>
      </c>
      <c r="G15" t="s">
        <v>27</v>
      </c>
      <c r="H15" t="s">
        <v>27</v>
      </c>
      <c r="I15" t="s">
        <v>28</v>
      </c>
      <c r="J15" t="s">
        <v>27</v>
      </c>
      <c r="K15" t="s">
        <v>28</v>
      </c>
      <c r="L15" t="s">
        <v>28</v>
      </c>
      <c r="M15" t="s">
        <v>29</v>
      </c>
      <c r="N15" t="s">
        <v>28</v>
      </c>
      <c r="O15" t="s">
        <v>31</v>
      </c>
      <c r="P15">
        <f t="shared" si="1"/>
        <v>7</v>
      </c>
      <c r="Q15">
        <f t="shared" si="2"/>
        <v>5</v>
      </c>
      <c r="R15">
        <f t="shared" si="3"/>
        <v>2</v>
      </c>
      <c r="S15">
        <f t="shared" si="6"/>
        <v>14</v>
      </c>
      <c r="T15" cm="1">
        <f t="array" ref="T15">SUMPRODUCT(--(B15:O15=B$34:O$34))</f>
        <v>6</v>
      </c>
      <c r="U15">
        <f t="shared" si="4"/>
        <v>5</v>
      </c>
      <c r="V15">
        <f t="shared" si="5"/>
        <v>4</v>
      </c>
      <c r="W15">
        <f t="shared" si="7"/>
        <v>8</v>
      </c>
      <c r="X15">
        <f t="shared" si="8"/>
        <v>4</v>
      </c>
      <c r="Y15">
        <f t="shared" si="9"/>
        <v>4</v>
      </c>
      <c r="Z15">
        <f t="shared" si="10"/>
        <v>4</v>
      </c>
      <c r="AA15">
        <f t="shared" si="11"/>
        <v>6</v>
      </c>
      <c r="AB15">
        <f t="shared" si="12"/>
        <v>4</v>
      </c>
      <c r="AC15">
        <f t="shared" si="13"/>
        <v>8</v>
      </c>
      <c r="AD15">
        <f t="shared" si="14"/>
        <v>4</v>
      </c>
      <c r="AE15">
        <f t="shared" si="15"/>
        <v>4</v>
      </c>
      <c r="AF15">
        <f t="shared" si="16"/>
        <v>5</v>
      </c>
      <c r="AG15">
        <f t="shared" si="17"/>
        <v>4</v>
      </c>
      <c r="AH15">
        <f t="shared" si="18"/>
        <v>3</v>
      </c>
      <c r="AI15">
        <f t="shared" si="19"/>
        <v>6</v>
      </c>
      <c r="AJ15">
        <f t="shared" si="20"/>
        <v>7</v>
      </c>
      <c r="AK15">
        <f t="shared" si="21"/>
        <v>4</v>
      </c>
      <c r="AL15">
        <f t="shared" si="22"/>
        <v>4</v>
      </c>
      <c r="BA15">
        <v>14</v>
      </c>
      <c r="BB15">
        <f t="shared" si="0"/>
        <v>0</v>
      </c>
    </row>
    <row r="16" spans="1:54" x14ac:dyDescent="0.3">
      <c r="A16">
        <v>15</v>
      </c>
      <c r="B16" t="s">
        <v>25</v>
      </c>
      <c r="C16" t="s">
        <v>29</v>
      </c>
      <c r="D16" t="s">
        <v>27</v>
      </c>
      <c r="E16" t="s">
        <v>28</v>
      </c>
      <c r="F16" t="s">
        <v>28</v>
      </c>
      <c r="G16" t="s">
        <v>29</v>
      </c>
      <c r="H16" t="s">
        <v>27</v>
      </c>
      <c r="I16" t="s">
        <v>29</v>
      </c>
      <c r="J16" t="s">
        <v>28</v>
      </c>
      <c r="K16" t="s">
        <v>28</v>
      </c>
      <c r="L16" t="s">
        <v>27</v>
      </c>
      <c r="M16" t="s">
        <v>27</v>
      </c>
      <c r="N16" t="s">
        <v>29</v>
      </c>
      <c r="O16" t="s">
        <v>31</v>
      </c>
      <c r="P16">
        <f t="shared" si="1"/>
        <v>5</v>
      </c>
      <c r="Q16">
        <f t="shared" si="2"/>
        <v>4</v>
      </c>
      <c r="R16">
        <f t="shared" si="3"/>
        <v>5</v>
      </c>
      <c r="S16">
        <f t="shared" si="6"/>
        <v>14</v>
      </c>
      <c r="T16" cm="1">
        <f t="array" ref="T16">SUMPRODUCT(--(B16:O16=B$34:O$34))</f>
        <v>6</v>
      </c>
      <c r="U16">
        <f t="shared" si="4"/>
        <v>9</v>
      </c>
      <c r="V16">
        <f t="shared" si="5"/>
        <v>6</v>
      </c>
      <c r="W16">
        <f t="shared" si="7"/>
        <v>4</v>
      </c>
      <c r="X16">
        <f t="shared" si="8"/>
        <v>6</v>
      </c>
      <c r="Y16">
        <f t="shared" si="9"/>
        <v>6</v>
      </c>
      <c r="Z16">
        <f t="shared" si="10"/>
        <v>4</v>
      </c>
      <c r="AA16">
        <f t="shared" si="11"/>
        <v>8</v>
      </c>
      <c r="AB16">
        <f t="shared" si="12"/>
        <v>6</v>
      </c>
      <c r="AC16">
        <f t="shared" si="13"/>
        <v>2</v>
      </c>
      <c r="AD16">
        <f t="shared" si="14"/>
        <v>5</v>
      </c>
      <c r="AE16">
        <f t="shared" si="15"/>
        <v>6</v>
      </c>
      <c r="AF16">
        <f t="shared" si="16"/>
        <v>3</v>
      </c>
      <c r="AG16">
        <f t="shared" si="17"/>
        <v>4</v>
      </c>
      <c r="AH16">
        <f t="shared" si="18"/>
        <v>6</v>
      </c>
      <c r="AI16">
        <f t="shared" si="19"/>
        <v>5</v>
      </c>
      <c r="AJ16">
        <f t="shared" si="20"/>
        <v>6</v>
      </c>
      <c r="AK16">
        <f t="shared" si="21"/>
        <v>2</v>
      </c>
    </row>
    <row r="17" spans="1:36" x14ac:dyDescent="0.3">
      <c r="A17">
        <v>16</v>
      </c>
      <c r="B17" t="s">
        <v>24</v>
      </c>
      <c r="C17" t="s">
        <v>27</v>
      </c>
      <c r="D17" t="s">
        <v>29</v>
      </c>
      <c r="E17" t="s">
        <v>29</v>
      </c>
      <c r="F17" t="s">
        <v>27</v>
      </c>
      <c r="G17" t="s">
        <v>28</v>
      </c>
      <c r="H17" t="s">
        <v>27</v>
      </c>
      <c r="I17" t="s">
        <v>27</v>
      </c>
      <c r="J17" t="s">
        <v>28</v>
      </c>
      <c r="K17" t="s">
        <v>27</v>
      </c>
      <c r="L17" t="s">
        <v>28</v>
      </c>
      <c r="M17" t="s">
        <v>29</v>
      </c>
      <c r="N17" t="s">
        <v>28</v>
      </c>
      <c r="O17" t="s">
        <v>30</v>
      </c>
      <c r="P17">
        <f t="shared" si="1"/>
        <v>5</v>
      </c>
      <c r="Q17">
        <f t="shared" si="2"/>
        <v>5</v>
      </c>
      <c r="R17">
        <f t="shared" si="3"/>
        <v>4</v>
      </c>
      <c r="S17">
        <f t="shared" si="6"/>
        <v>14</v>
      </c>
      <c r="T17" cm="1">
        <f t="array" ref="T17">SUMPRODUCT(--(B17:O17=B$34:O$34))</f>
        <v>7</v>
      </c>
      <c r="U17">
        <f t="shared" si="4"/>
        <v>3</v>
      </c>
      <c r="V17">
        <f t="shared" si="5"/>
        <v>6</v>
      </c>
      <c r="W17">
        <f t="shared" si="7"/>
        <v>5</v>
      </c>
      <c r="X17">
        <f t="shared" si="8"/>
        <v>2</v>
      </c>
      <c r="Y17">
        <f t="shared" si="9"/>
        <v>5</v>
      </c>
      <c r="Z17">
        <f t="shared" si="10"/>
        <v>7</v>
      </c>
      <c r="AA17">
        <f t="shared" si="11"/>
        <v>4</v>
      </c>
      <c r="AB17">
        <f t="shared" si="12"/>
        <v>6</v>
      </c>
      <c r="AC17">
        <f t="shared" si="13"/>
        <v>7</v>
      </c>
      <c r="AD17">
        <f t="shared" si="14"/>
        <v>6</v>
      </c>
      <c r="AE17">
        <f t="shared" si="15"/>
        <v>6</v>
      </c>
      <c r="AF17">
        <f t="shared" si="16"/>
        <v>5</v>
      </c>
      <c r="AG17">
        <f t="shared" si="17"/>
        <v>6</v>
      </c>
      <c r="AH17">
        <f t="shared" si="18"/>
        <v>5</v>
      </c>
      <c r="AI17">
        <f t="shared" si="19"/>
        <v>3</v>
      </c>
      <c r="AJ17">
        <f t="shared" si="20"/>
        <v>4</v>
      </c>
    </row>
    <row r="18" spans="1:36" x14ac:dyDescent="0.3">
      <c r="A18">
        <v>17</v>
      </c>
      <c r="B18" t="s">
        <v>26</v>
      </c>
      <c r="C18" t="s">
        <v>27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29</v>
      </c>
      <c r="J18" t="s">
        <v>29</v>
      </c>
      <c r="K18" t="s">
        <v>28</v>
      </c>
      <c r="L18" t="s">
        <v>28</v>
      </c>
      <c r="M18" t="s">
        <v>27</v>
      </c>
      <c r="N18" t="s">
        <v>28</v>
      </c>
      <c r="O18" t="s">
        <v>31</v>
      </c>
      <c r="P18">
        <f t="shared" si="1"/>
        <v>8</v>
      </c>
      <c r="Q18">
        <f t="shared" si="2"/>
        <v>3</v>
      </c>
      <c r="R18">
        <f t="shared" si="3"/>
        <v>3</v>
      </c>
      <c r="S18">
        <f t="shared" si="6"/>
        <v>14</v>
      </c>
      <c r="T18" cm="1">
        <f t="array" ref="T18">SUMPRODUCT(--(B18:O18=B$34:O$34))</f>
        <v>8</v>
      </c>
      <c r="U18">
        <f t="shared" si="4"/>
        <v>8</v>
      </c>
      <c r="V18">
        <f t="shared" si="5"/>
        <v>3</v>
      </c>
      <c r="W18">
        <f t="shared" si="7"/>
        <v>8</v>
      </c>
      <c r="X18">
        <f t="shared" si="8"/>
        <v>6</v>
      </c>
      <c r="Y18">
        <f t="shared" si="9"/>
        <v>8</v>
      </c>
      <c r="Z18">
        <f t="shared" si="10"/>
        <v>4</v>
      </c>
      <c r="AA18">
        <f t="shared" si="11"/>
        <v>3</v>
      </c>
      <c r="AB18">
        <f t="shared" si="12"/>
        <v>7</v>
      </c>
      <c r="AC18">
        <f t="shared" si="13"/>
        <v>7</v>
      </c>
      <c r="AD18">
        <f t="shared" si="14"/>
        <v>5</v>
      </c>
      <c r="AE18">
        <f t="shared" si="15"/>
        <v>5</v>
      </c>
      <c r="AF18">
        <f t="shared" si="16"/>
        <v>5</v>
      </c>
      <c r="AG18">
        <f t="shared" si="17"/>
        <v>7</v>
      </c>
      <c r="AH18">
        <f t="shared" si="18"/>
        <v>5</v>
      </c>
      <c r="AI18">
        <f t="shared" si="19"/>
        <v>3</v>
      </c>
    </row>
    <row r="19" spans="1:36" x14ac:dyDescent="0.3">
      <c r="A19">
        <v>18</v>
      </c>
      <c r="B19" t="s">
        <v>25</v>
      </c>
      <c r="C19" t="s">
        <v>29</v>
      </c>
      <c r="D19" t="s">
        <v>29</v>
      </c>
      <c r="E19" t="s">
        <v>27</v>
      </c>
      <c r="F19" t="s">
        <v>28</v>
      </c>
      <c r="G19" t="s">
        <v>27</v>
      </c>
      <c r="H19" t="s">
        <v>28</v>
      </c>
      <c r="I19" t="s">
        <v>28</v>
      </c>
      <c r="J19" t="s">
        <v>28</v>
      </c>
      <c r="K19" t="s">
        <v>29</v>
      </c>
      <c r="L19" t="s">
        <v>29</v>
      </c>
      <c r="M19" t="s">
        <v>29</v>
      </c>
      <c r="N19" t="s">
        <v>27</v>
      </c>
      <c r="O19" t="s">
        <v>31</v>
      </c>
      <c r="P19">
        <f t="shared" si="1"/>
        <v>5</v>
      </c>
      <c r="Q19">
        <f t="shared" si="2"/>
        <v>3</v>
      </c>
      <c r="R19">
        <f t="shared" si="3"/>
        <v>6</v>
      </c>
      <c r="S19">
        <f t="shared" si="6"/>
        <v>14</v>
      </c>
      <c r="T19" cm="1">
        <f t="array" ref="T19">SUMPRODUCT(--(B19:O19=B$34:O$34))</f>
        <v>6</v>
      </c>
      <c r="U19">
        <f t="shared" si="4"/>
        <v>7</v>
      </c>
      <c r="V19">
        <f t="shared" si="5"/>
        <v>3</v>
      </c>
      <c r="W19">
        <f t="shared" si="7"/>
        <v>6</v>
      </c>
      <c r="X19">
        <f t="shared" si="8"/>
        <v>4</v>
      </c>
      <c r="Y19">
        <f t="shared" si="9"/>
        <v>3</v>
      </c>
      <c r="Z19">
        <f t="shared" si="10"/>
        <v>9</v>
      </c>
      <c r="AA19">
        <f t="shared" si="11"/>
        <v>4</v>
      </c>
      <c r="AB19">
        <f t="shared" si="12"/>
        <v>5</v>
      </c>
      <c r="AC19">
        <f t="shared" si="13"/>
        <v>6</v>
      </c>
      <c r="AD19">
        <f t="shared" si="14"/>
        <v>3</v>
      </c>
      <c r="AE19">
        <f t="shared" si="15"/>
        <v>4</v>
      </c>
      <c r="AF19">
        <f t="shared" si="16"/>
        <v>4</v>
      </c>
      <c r="AG19">
        <f t="shared" si="17"/>
        <v>5</v>
      </c>
      <c r="AH19">
        <f t="shared" si="18"/>
        <v>2</v>
      </c>
    </row>
    <row r="20" spans="1:36" x14ac:dyDescent="0.3">
      <c r="A20">
        <v>19</v>
      </c>
      <c r="B20" t="s">
        <v>24</v>
      </c>
      <c r="C20" t="s">
        <v>28</v>
      </c>
      <c r="D20" t="s">
        <v>29</v>
      </c>
      <c r="E20" t="s">
        <v>28</v>
      </c>
      <c r="F20" t="s">
        <v>29</v>
      </c>
      <c r="G20" t="s">
        <v>29</v>
      </c>
      <c r="H20" t="s">
        <v>27</v>
      </c>
      <c r="I20" t="s">
        <v>29</v>
      </c>
      <c r="J20" t="s">
        <v>29</v>
      </c>
      <c r="K20" t="s">
        <v>29</v>
      </c>
      <c r="L20" t="s">
        <v>27</v>
      </c>
      <c r="M20" t="s">
        <v>27</v>
      </c>
      <c r="N20" t="s">
        <v>28</v>
      </c>
      <c r="O20" t="s">
        <v>30</v>
      </c>
      <c r="P20">
        <f t="shared" si="1"/>
        <v>4</v>
      </c>
      <c r="Q20">
        <f t="shared" si="2"/>
        <v>3</v>
      </c>
      <c r="R20">
        <f t="shared" si="3"/>
        <v>7</v>
      </c>
      <c r="S20">
        <f t="shared" si="6"/>
        <v>14</v>
      </c>
      <c r="T20" cm="1">
        <f t="array" ref="T20">SUMPRODUCT(--(B20:O20=B$34:O$34))</f>
        <v>6</v>
      </c>
      <c r="U20">
        <f t="shared" si="4"/>
        <v>3</v>
      </c>
      <c r="V20">
        <f t="shared" si="5"/>
        <v>8</v>
      </c>
      <c r="W20">
        <f t="shared" si="7"/>
        <v>5</v>
      </c>
      <c r="X20">
        <f t="shared" si="8"/>
        <v>8</v>
      </c>
      <c r="Y20">
        <f t="shared" si="9"/>
        <v>3</v>
      </c>
      <c r="Z20">
        <f t="shared" si="10"/>
        <v>2</v>
      </c>
      <c r="AA20">
        <f t="shared" si="11"/>
        <v>5</v>
      </c>
      <c r="AB20">
        <f t="shared" si="12"/>
        <v>7</v>
      </c>
      <c r="AC20">
        <f t="shared" si="13"/>
        <v>4</v>
      </c>
      <c r="AD20">
        <f t="shared" si="14"/>
        <v>5</v>
      </c>
      <c r="AE20">
        <f t="shared" si="15"/>
        <v>4</v>
      </c>
      <c r="AF20">
        <f t="shared" si="16"/>
        <v>6</v>
      </c>
      <c r="AG20">
        <f t="shared" si="17"/>
        <v>3</v>
      </c>
    </row>
    <row r="21" spans="1:36" x14ac:dyDescent="0.3">
      <c r="A21">
        <v>20</v>
      </c>
      <c r="B21" t="s">
        <v>25</v>
      </c>
      <c r="C21" t="s">
        <v>27</v>
      </c>
      <c r="D21" t="s">
        <v>28</v>
      </c>
      <c r="E21" t="s">
        <v>29</v>
      </c>
      <c r="F21" t="s">
        <v>29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27</v>
      </c>
      <c r="N21" t="s">
        <v>27</v>
      </c>
      <c r="O21" t="s">
        <v>30</v>
      </c>
      <c r="P21">
        <f t="shared" si="1"/>
        <v>9</v>
      </c>
      <c r="Q21">
        <f t="shared" si="2"/>
        <v>3</v>
      </c>
      <c r="R21">
        <f t="shared" si="3"/>
        <v>2</v>
      </c>
      <c r="S21">
        <f t="shared" si="6"/>
        <v>14</v>
      </c>
      <c r="T21" cm="1">
        <f t="array" ref="T21">SUMPRODUCT(--(B21:O21=B$34:O$34))</f>
        <v>7</v>
      </c>
      <c r="U21">
        <f t="shared" si="4"/>
        <v>5</v>
      </c>
      <c r="V21">
        <f t="shared" si="5"/>
        <v>4</v>
      </c>
      <c r="W21">
        <f t="shared" si="7"/>
        <v>2</v>
      </c>
      <c r="X21">
        <f t="shared" si="8"/>
        <v>7</v>
      </c>
      <c r="Y21">
        <f t="shared" si="9"/>
        <v>7</v>
      </c>
      <c r="Z21">
        <f t="shared" si="10"/>
        <v>4</v>
      </c>
      <c r="AA21">
        <f t="shared" si="11"/>
        <v>5</v>
      </c>
      <c r="AB21">
        <f t="shared" si="12"/>
        <v>5</v>
      </c>
      <c r="AC21">
        <f t="shared" si="13"/>
        <v>4</v>
      </c>
      <c r="AD21">
        <f t="shared" si="14"/>
        <v>3</v>
      </c>
      <c r="AE21">
        <f t="shared" si="15"/>
        <v>6</v>
      </c>
      <c r="AF21">
        <f t="shared" si="16"/>
        <v>5</v>
      </c>
    </row>
    <row r="22" spans="1:36" x14ac:dyDescent="0.3">
      <c r="A22">
        <v>21</v>
      </c>
      <c r="B22" t="s">
        <v>26</v>
      </c>
      <c r="C22" t="s">
        <v>28</v>
      </c>
      <c r="D22" t="s">
        <v>29</v>
      </c>
      <c r="E22" t="s">
        <v>28</v>
      </c>
      <c r="F22" t="s">
        <v>27</v>
      </c>
      <c r="G22" t="s">
        <v>28</v>
      </c>
      <c r="H22" t="s">
        <v>29</v>
      </c>
      <c r="I22" t="s">
        <v>28</v>
      </c>
      <c r="J22" t="s">
        <v>29</v>
      </c>
      <c r="K22" t="s">
        <v>28</v>
      </c>
      <c r="L22" t="s">
        <v>27</v>
      </c>
      <c r="M22" t="s">
        <v>29</v>
      </c>
      <c r="N22" t="s">
        <v>27</v>
      </c>
      <c r="O22" t="s">
        <v>30</v>
      </c>
      <c r="P22">
        <f t="shared" si="1"/>
        <v>6</v>
      </c>
      <c r="Q22">
        <f t="shared" si="2"/>
        <v>4</v>
      </c>
      <c r="R22">
        <f t="shared" si="3"/>
        <v>4</v>
      </c>
      <c r="S22">
        <f t="shared" si="6"/>
        <v>14</v>
      </c>
      <c r="T22" cm="1">
        <f t="array" ref="T22">SUMPRODUCT(--(B22:O22=B$34:O$34))</f>
        <v>7</v>
      </c>
      <c r="U22">
        <f t="shared" si="4"/>
        <v>7</v>
      </c>
      <c r="V22">
        <f t="shared" si="5"/>
        <v>5</v>
      </c>
      <c r="W22">
        <f t="shared" si="7"/>
        <v>5</v>
      </c>
      <c r="X22">
        <f t="shared" si="8"/>
        <v>6</v>
      </c>
      <c r="Y22">
        <f t="shared" si="9"/>
        <v>6</v>
      </c>
      <c r="Z22">
        <f t="shared" si="10"/>
        <v>3</v>
      </c>
      <c r="AA22">
        <f t="shared" si="11"/>
        <v>4</v>
      </c>
      <c r="AB22">
        <f t="shared" si="12"/>
        <v>5</v>
      </c>
      <c r="AC22">
        <f t="shared" si="13"/>
        <v>4</v>
      </c>
      <c r="AD22">
        <f t="shared" si="14"/>
        <v>7</v>
      </c>
      <c r="AE22">
        <f t="shared" si="15"/>
        <v>1</v>
      </c>
    </row>
    <row r="23" spans="1:36" x14ac:dyDescent="0.3">
      <c r="A23">
        <v>22</v>
      </c>
      <c r="B23" t="s">
        <v>25</v>
      </c>
      <c r="C23" t="s">
        <v>28</v>
      </c>
      <c r="D23" t="s">
        <v>27</v>
      </c>
      <c r="E23" t="s">
        <v>29</v>
      </c>
      <c r="F23" t="s">
        <v>28</v>
      </c>
      <c r="G23" t="s">
        <v>29</v>
      </c>
      <c r="H23" t="s">
        <v>28</v>
      </c>
      <c r="I23" t="s">
        <v>27</v>
      </c>
      <c r="J23" t="s">
        <v>28</v>
      </c>
      <c r="K23" t="s">
        <v>27</v>
      </c>
      <c r="L23" t="s">
        <v>28</v>
      </c>
      <c r="M23" t="s">
        <v>27</v>
      </c>
      <c r="N23" t="s">
        <v>28</v>
      </c>
      <c r="O23" t="s">
        <v>32</v>
      </c>
      <c r="P23">
        <f t="shared" si="1"/>
        <v>7</v>
      </c>
      <c r="Q23">
        <f t="shared" si="2"/>
        <v>5</v>
      </c>
      <c r="R23">
        <f t="shared" si="3"/>
        <v>2</v>
      </c>
      <c r="S23">
        <f t="shared" si="6"/>
        <v>14</v>
      </c>
      <c r="T23" cm="1">
        <f t="array" ref="T23">SUMPRODUCT(--(B23:O23=B$34:O$34))</f>
        <v>7</v>
      </c>
      <c r="U23">
        <f t="shared" si="4"/>
        <v>4</v>
      </c>
      <c r="V23">
        <f t="shared" si="5"/>
        <v>6</v>
      </c>
      <c r="W23">
        <f t="shared" si="7"/>
        <v>3</v>
      </c>
      <c r="X23">
        <f t="shared" si="8"/>
        <v>7</v>
      </c>
      <c r="Y23">
        <f t="shared" si="9"/>
        <v>3</v>
      </c>
      <c r="Z23">
        <f t="shared" si="10"/>
        <v>8</v>
      </c>
      <c r="AA23">
        <f t="shared" si="11"/>
        <v>6</v>
      </c>
      <c r="AB23">
        <f t="shared" si="12"/>
        <v>2</v>
      </c>
      <c r="AC23">
        <f t="shared" si="13"/>
        <v>5</v>
      </c>
      <c r="AD23">
        <f t="shared" si="14"/>
        <v>5</v>
      </c>
    </row>
    <row r="24" spans="1:36" x14ac:dyDescent="0.3">
      <c r="A24">
        <v>23</v>
      </c>
      <c r="B24" t="s">
        <v>24</v>
      </c>
      <c r="C24" t="s">
        <v>28</v>
      </c>
      <c r="D24" t="s">
        <v>27</v>
      </c>
      <c r="E24" t="s">
        <v>28</v>
      </c>
      <c r="F24" t="s">
        <v>27</v>
      </c>
      <c r="G24" t="s">
        <v>28</v>
      </c>
      <c r="H24" t="s">
        <v>29</v>
      </c>
      <c r="I24" t="s">
        <v>29</v>
      </c>
      <c r="J24" t="s">
        <v>28</v>
      </c>
      <c r="K24" t="s">
        <v>28</v>
      </c>
      <c r="L24" t="s">
        <v>29</v>
      </c>
      <c r="M24" t="s">
        <v>29</v>
      </c>
      <c r="N24" t="s">
        <v>28</v>
      </c>
      <c r="O24" t="s">
        <v>32</v>
      </c>
      <c r="P24">
        <f t="shared" si="1"/>
        <v>6</v>
      </c>
      <c r="Q24">
        <f t="shared" si="2"/>
        <v>3</v>
      </c>
      <c r="R24">
        <f t="shared" si="3"/>
        <v>5</v>
      </c>
      <c r="S24">
        <f t="shared" si="6"/>
        <v>14</v>
      </c>
      <c r="T24" cm="1">
        <f t="array" ref="T24">SUMPRODUCT(--(B24:O24=B$34:O$34))</f>
        <v>8</v>
      </c>
      <c r="U24">
        <f t="shared" si="4"/>
        <v>7</v>
      </c>
      <c r="V24">
        <f t="shared" si="5"/>
        <v>3</v>
      </c>
      <c r="W24">
        <f t="shared" si="7"/>
        <v>5</v>
      </c>
      <c r="X24">
        <f t="shared" si="8"/>
        <v>6</v>
      </c>
      <c r="Y24">
        <f t="shared" si="9"/>
        <v>6</v>
      </c>
      <c r="Z24">
        <f t="shared" si="10"/>
        <v>6</v>
      </c>
      <c r="AA24">
        <f t="shared" si="11"/>
        <v>3</v>
      </c>
      <c r="AB24">
        <f t="shared" si="12"/>
        <v>4</v>
      </c>
      <c r="AC24">
        <f t="shared" si="13"/>
        <v>3</v>
      </c>
    </row>
    <row r="25" spans="1:36" x14ac:dyDescent="0.3">
      <c r="A25">
        <v>24</v>
      </c>
      <c r="B25" t="s">
        <v>26</v>
      </c>
      <c r="C25" t="s">
        <v>27</v>
      </c>
      <c r="D25" t="s">
        <v>29</v>
      </c>
      <c r="E25" t="s">
        <v>27</v>
      </c>
      <c r="F25" t="s">
        <v>28</v>
      </c>
      <c r="G25" t="s">
        <v>27</v>
      </c>
      <c r="H25" t="s">
        <v>28</v>
      </c>
      <c r="I25" t="s">
        <v>29</v>
      </c>
      <c r="J25" t="s">
        <v>27</v>
      </c>
      <c r="K25" t="s">
        <v>27</v>
      </c>
      <c r="L25" t="s">
        <v>28</v>
      </c>
      <c r="M25" t="s">
        <v>29</v>
      </c>
      <c r="N25" t="s">
        <v>28</v>
      </c>
      <c r="O25" t="s">
        <v>30</v>
      </c>
      <c r="P25">
        <f t="shared" si="1"/>
        <v>5</v>
      </c>
      <c r="Q25">
        <f t="shared" si="2"/>
        <v>6</v>
      </c>
      <c r="R25">
        <f t="shared" si="3"/>
        <v>3</v>
      </c>
      <c r="S25">
        <f t="shared" si="6"/>
        <v>14</v>
      </c>
      <c r="T25" cm="1">
        <f t="array" ref="T25">SUMPRODUCT(--(B25:O25=B$34:O$34))</f>
        <v>8</v>
      </c>
      <c r="U25">
        <f t="shared" si="4"/>
        <v>5</v>
      </c>
      <c r="V25">
        <f t="shared" si="5"/>
        <v>4</v>
      </c>
      <c r="W25">
        <f t="shared" si="7"/>
        <v>10</v>
      </c>
      <c r="X25">
        <f t="shared" si="8"/>
        <v>3</v>
      </c>
      <c r="Y25">
        <f t="shared" si="9"/>
        <v>5</v>
      </c>
      <c r="Z25">
        <f t="shared" si="10"/>
        <v>7</v>
      </c>
      <c r="AA25">
        <f t="shared" si="11"/>
        <v>3</v>
      </c>
      <c r="AB25">
        <f t="shared" si="12"/>
        <v>5</v>
      </c>
    </row>
    <row r="26" spans="1:36" x14ac:dyDescent="0.3">
      <c r="A26">
        <v>25</v>
      </c>
      <c r="B26" t="s">
        <v>25</v>
      </c>
      <c r="C26" t="s">
        <v>27</v>
      </c>
      <c r="D26" t="s">
        <v>29</v>
      </c>
      <c r="E26" t="s">
        <v>28</v>
      </c>
      <c r="F26" t="s">
        <v>29</v>
      </c>
      <c r="G26" t="s">
        <v>28</v>
      </c>
      <c r="H26" t="s">
        <v>27</v>
      </c>
      <c r="I26" t="s">
        <v>29</v>
      </c>
      <c r="J26" t="s">
        <v>29</v>
      </c>
      <c r="K26" t="s">
        <v>29</v>
      </c>
      <c r="L26" t="s">
        <v>28</v>
      </c>
      <c r="M26" t="s">
        <v>29</v>
      </c>
      <c r="N26" t="s">
        <v>29</v>
      </c>
      <c r="O26" t="s">
        <v>31</v>
      </c>
      <c r="P26">
        <f t="shared" si="1"/>
        <v>4</v>
      </c>
      <c r="Q26">
        <f t="shared" si="2"/>
        <v>2</v>
      </c>
      <c r="R26">
        <f t="shared" si="3"/>
        <v>8</v>
      </c>
      <c r="S26">
        <f t="shared" si="6"/>
        <v>14</v>
      </c>
      <c r="T26" cm="1">
        <f t="array" ref="T26">SUMPRODUCT(--(B26:O26=B$34:O$34))</f>
        <v>7</v>
      </c>
      <c r="U26">
        <f t="shared" si="4"/>
        <v>5</v>
      </c>
      <c r="V26">
        <f t="shared" si="5"/>
        <v>7</v>
      </c>
      <c r="W26">
        <f t="shared" si="7"/>
        <v>8</v>
      </c>
      <c r="X26">
        <f t="shared" si="8"/>
        <v>4</v>
      </c>
      <c r="Y26">
        <f t="shared" si="9"/>
        <v>5</v>
      </c>
      <c r="Z26">
        <f t="shared" si="10"/>
        <v>4</v>
      </c>
      <c r="AA26">
        <f t="shared" si="11"/>
        <v>3</v>
      </c>
    </row>
    <row r="27" spans="1:36" x14ac:dyDescent="0.3">
      <c r="A27">
        <v>26</v>
      </c>
      <c r="B27" t="s">
        <v>25</v>
      </c>
      <c r="C27" t="s">
        <v>28</v>
      </c>
      <c r="D27" t="s">
        <v>28</v>
      </c>
      <c r="E27" t="s">
        <v>27</v>
      </c>
      <c r="F27" t="s">
        <v>28</v>
      </c>
      <c r="G27" t="s">
        <v>29</v>
      </c>
      <c r="H27" t="s">
        <v>27</v>
      </c>
      <c r="I27" t="s">
        <v>27</v>
      </c>
      <c r="J27" t="s">
        <v>28</v>
      </c>
      <c r="K27" t="s">
        <v>28</v>
      </c>
      <c r="L27" t="s">
        <v>27</v>
      </c>
      <c r="M27" t="s">
        <v>28</v>
      </c>
      <c r="N27" t="s">
        <v>29</v>
      </c>
      <c r="O27" t="s">
        <v>30</v>
      </c>
      <c r="P27">
        <f t="shared" si="1"/>
        <v>8</v>
      </c>
      <c r="Q27">
        <f t="shared" si="2"/>
        <v>4</v>
      </c>
      <c r="R27">
        <f t="shared" si="3"/>
        <v>2</v>
      </c>
      <c r="S27">
        <f t="shared" si="6"/>
        <v>14</v>
      </c>
      <c r="T27" cm="1">
        <f t="array" ref="T27">SUMPRODUCT(--(B27:O27=B$34:O$34))</f>
        <v>6</v>
      </c>
      <c r="U27">
        <f t="shared" si="4"/>
        <v>4</v>
      </c>
      <c r="V27">
        <f t="shared" si="5"/>
        <v>7</v>
      </c>
      <c r="W27">
        <f t="shared" si="7"/>
        <v>1</v>
      </c>
      <c r="X27">
        <f t="shared" si="8"/>
        <v>5</v>
      </c>
      <c r="Y27">
        <f t="shared" si="9"/>
        <v>6</v>
      </c>
      <c r="Z27">
        <f t="shared" si="10"/>
        <v>5</v>
      </c>
    </row>
    <row r="28" spans="1:36" x14ac:dyDescent="0.3">
      <c r="A28">
        <v>27</v>
      </c>
      <c r="B28" t="s">
        <v>25</v>
      </c>
      <c r="C28" t="s">
        <v>29</v>
      </c>
      <c r="D28" t="s">
        <v>29</v>
      </c>
      <c r="E28" t="s">
        <v>27</v>
      </c>
      <c r="F28" t="s">
        <v>28</v>
      </c>
      <c r="G28" t="s">
        <v>28</v>
      </c>
      <c r="H28" t="s">
        <v>28</v>
      </c>
      <c r="I28" t="s">
        <v>27</v>
      </c>
      <c r="J28" t="s">
        <v>28</v>
      </c>
      <c r="K28" t="s">
        <v>27</v>
      </c>
      <c r="L28" t="s">
        <v>29</v>
      </c>
      <c r="M28" t="s">
        <v>29</v>
      </c>
      <c r="N28" t="s">
        <v>28</v>
      </c>
      <c r="O28" t="s">
        <v>32</v>
      </c>
      <c r="P28">
        <f t="shared" si="1"/>
        <v>6</v>
      </c>
      <c r="Q28">
        <f t="shared" si="2"/>
        <v>4</v>
      </c>
      <c r="R28">
        <f t="shared" si="3"/>
        <v>4</v>
      </c>
      <c r="S28">
        <f t="shared" si="6"/>
        <v>14</v>
      </c>
      <c r="T28" cm="1">
        <f t="array" ref="T28">SUMPRODUCT(--(B28:O28=B$34:O$34))</f>
        <v>8</v>
      </c>
      <c r="U28">
        <f t="shared" si="4"/>
        <v>6</v>
      </c>
      <c r="V28">
        <f t="shared" si="5"/>
        <v>3</v>
      </c>
      <c r="W28">
        <f t="shared" si="7"/>
        <v>4</v>
      </c>
      <c r="X28">
        <f t="shared" si="8"/>
        <v>4</v>
      </c>
      <c r="Y28">
        <f t="shared" si="9"/>
        <v>4</v>
      </c>
    </row>
    <row r="29" spans="1:36" x14ac:dyDescent="0.3">
      <c r="A29">
        <v>28</v>
      </c>
      <c r="B29" t="s">
        <v>26</v>
      </c>
      <c r="C29" t="s">
        <v>29</v>
      </c>
      <c r="D29" t="s">
        <v>28</v>
      </c>
      <c r="E29" t="s">
        <v>28</v>
      </c>
      <c r="F29" t="s">
        <v>27</v>
      </c>
      <c r="G29" t="s">
        <v>28</v>
      </c>
      <c r="H29" t="s">
        <v>28</v>
      </c>
      <c r="I29" t="s">
        <v>29</v>
      </c>
      <c r="J29" t="s">
        <v>28</v>
      </c>
      <c r="K29" t="s">
        <v>28</v>
      </c>
      <c r="L29" t="s">
        <v>28</v>
      </c>
      <c r="M29" t="s">
        <v>28</v>
      </c>
      <c r="N29" t="s">
        <v>29</v>
      </c>
      <c r="O29" t="s">
        <v>30</v>
      </c>
      <c r="P29">
        <f t="shared" si="1"/>
        <v>9</v>
      </c>
      <c r="Q29">
        <f t="shared" si="2"/>
        <v>2</v>
      </c>
      <c r="R29">
        <f t="shared" si="3"/>
        <v>3</v>
      </c>
      <c r="S29">
        <f t="shared" si="6"/>
        <v>14</v>
      </c>
      <c r="T29" cm="1">
        <f t="array" ref="T29">SUMPRODUCT(--(B29:O29=B$34:O$34))</f>
        <v>8</v>
      </c>
      <c r="U29">
        <f t="shared" si="4"/>
        <v>8</v>
      </c>
      <c r="V29">
        <f t="shared" si="5"/>
        <v>5</v>
      </c>
      <c r="W29">
        <f t="shared" si="7"/>
        <v>4</v>
      </c>
      <c r="X29">
        <f t="shared" si="8"/>
        <v>4</v>
      </c>
    </row>
    <row r="30" spans="1:36" x14ac:dyDescent="0.3">
      <c r="A30">
        <v>29</v>
      </c>
      <c r="B30" t="s">
        <v>25</v>
      </c>
      <c r="C30" t="s">
        <v>28</v>
      </c>
      <c r="D30" t="s">
        <v>27</v>
      </c>
      <c r="E30" t="s">
        <v>28</v>
      </c>
      <c r="F30" t="s">
        <v>29</v>
      </c>
      <c r="G30" t="s">
        <v>29</v>
      </c>
      <c r="H30" t="s">
        <v>28</v>
      </c>
      <c r="I30" t="s">
        <v>28</v>
      </c>
      <c r="J30" t="s">
        <v>29</v>
      </c>
      <c r="K30" t="s">
        <v>28</v>
      </c>
      <c r="L30" t="s">
        <v>29</v>
      </c>
      <c r="M30" t="s">
        <v>27</v>
      </c>
      <c r="N30" t="s">
        <v>28</v>
      </c>
      <c r="O30" t="s">
        <v>30</v>
      </c>
      <c r="P30">
        <f t="shared" si="1"/>
        <v>8</v>
      </c>
      <c r="Q30">
        <f t="shared" si="2"/>
        <v>2</v>
      </c>
      <c r="R30">
        <f t="shared" si="3"/>
        <v>4</v>
      </c>
      <c r="S30">
        <f t="shared" si="6"/>
        <v>14</v>
      </c>
      <c r="T30" cm="1">
        <f t="array" ref="T30">SUMPRODUCT(--(B30:O30=B$34:O$34))</f>
        <v>7</v>
      </c>
      <c r="U30">
        <f t="shared" si="4"/>
        <v>4</v>
      </c>
      <c r="V30">
        <f t="shared" si="5"/>
        <v>6</v>
      </c>
      <c r="W30">
        <f t="shared" si="7"/>
        <v>2</v>
      </c>
    </row>
    <row r="31" spans="1:36" x14ac:dyDescent="0.3">
      <c r="A31">
        <v>30</v>
      </c>
      <c r="B31" t="s">
        <v>26</v>
      </c>
      <c r="C31" t="s">
        <v>27</v>
      </c>
      <c r="D31" t="s">
        <v>29</v>
      </c>
      <c r="E31" t="s">
        <v>28</v>
      </c>
      <c r="F31" t="s">
        <v>28</v>
      </c>
      <c r="G31" t="s">
        <v>27</v>
      </c>
      <c r="H31" t="s">
        <v>29</v>
      </c>
      <c r="I31" t="s">
        <v>29</v>
      </c>
      <c r="J31" t="s">
        <v>27</v>
      </c>
      <c r="K31" t="s">
        <v>29</v>
      </c>
      <c r="L31" t="s">
        <v>28</v>
      </c>
      <c r="M31" t="s">
        <v>29</v>
      </c>
      <c r="N31" t="s">
        <v>28</v>
      </c>
      <c r="O31" t="s">
        <v>31</v>
      </c>
      <c r="P31">
        <f t="shared" si="1"/>
        <v>4</v>
      </c>
      <c r="Q31">
        <f t="shared" si="2"/>
        <v>4</v>
      </c>
      <c r="R31">
        <f t="shared" si="3"/>
        <v>6</v>
      </c>
      <c r="S31">
        <f t="shared" si="6"/>
        <v>14</v>
      </c>
      <c r="T31" cm="1">
        <f t="array" ref="T31">SUMPRODUCT(--(B31:O31=B$34:O$34))</f>
        <v>7</v>
      </c>
      <c r="U31">
        <f t="shared" si="4"/>
        <v>6</v>
      </c>
      <c r="V31">
        <f t="shared" si="5"/>
        <v>5</v>
      </c>
    </row>
    <row r="32" spans="1:36" x14ac:dyDescent="0.3">
      <c r="A32">
        <v>31</v>
      </c>
      <c r="B32" t="s">
        <v>25</v>
      </c>
      <c r="C32" t="s">
        <v>28</v>
      </c>
      <c r="D32" t="s">
        <v>29</v>
      </c>
      <c r="E32" t="s">
        <v>28</v>
      </c>
      <c r="F32" t="s">
        <v>27</v>
      </c>
      <c r="G32" t="s">
        <v>29</v>
      </c>
      <c r="H32" t="s">
        <v>27</v>
      </c>
      <c r="I32" t="s">
        <v>27</v>
      </c>
      <c r="J32" t="s">
        <v>27</v>
      </c>
      <c r="K32" t="s">
        <v>29</v>
      </c>
      <c r="L32" t="s">
        <v>28</v>
      </c>
      <c r="M32" t="s">
        <v>27</v>
      </c>
      <c r="N32" t="s">
        <v>29</v>
      </c>
      <c r="O32" t="s">
        <v>30</v>
      </c>
      <c r="P32">
        <f t="shared" si="1"/>
        <v>5</v>
      </c>
      <c r="Q32">
        <f t="shared" si="2"/>
        <v>5</v>
      </c>
      <c r="R32">
        <f t="shared" si="3"/>
        <v>4</v>
      </c>
      <c r="S32">
        <f t="shared" si="6"/>
        <v>14</v>
      </c>
      <c r="T32" cm="1">
        <f t="array" ref="T32">SUMPRODUCT(--(B32:O32=B$34:O$34))</f>
        <v>6</v>
      </c>
      <c r="U32">
        <f t="shared" si="4"/>
        <v>1</v>
      </c>
    </row>
    <row r="33" spans="1:52" x14ac:dyDescent="0.3">
      <c r="A33">
        <v>32</v>
      </c>
      <c r="B33" t="s">
        <v>26</v>
      </c>
      <c r="C33" t="s">
        <v>29</v>
      </c>
      <c r="D33" t="s">
        <v>27</v>
      </c>
      <c r="E33" t="s">
        <v>28</v>
      </c>
      <c r="F33" t="s">
        <v>28</v>
      </c>
      <c r="G33" t="s">
        <v>28</v>
      </c>
      <c r="H33" t="s">
        <v>28</v>
      </c>
      <c r="I33" t="s">
        <v>29</v>
      </c>
      <c r="J33" t="s">
        <v>28</v>
      </c>
      <c r="K33" t="s">
        <v>28</v>
      </c>
      <c r="L33" t="s">
        <v>27</v>
      </c>
      <c r="M33" t="s">
        <v>29</v>
      </c>
      <c r="N33" t="s">
        <v>27</v>
      </c>
      <c r="O33" t="s">
        <v>31</v>
      </c>
      <c r="P33">
        <f t="shared" si="1"/>
        <v>6</v>
      </c>
      <c r="Q33">
        <f t="shared" si="2"/>
        <v>4</v>
      </c>
      <c r="R33">
        <f t="shared" si="3"/>
        <v>4</v>
      </c>
      <c r="S33">
        <f t="shared" si="6"/>
        <v>14</v>
      </c>
      <c r="T33" cm="1">
        <f t="array" ref="T33">SUMPRODUCT(--(B33:O33=B$34:O$34))</f>
        <v>8</v>
      </c>
    </row>
    <row r="34" spans="1:52" x14ac:dyDescent="0.3">
      <c r="A34" t="s">
        <v>66</v>
      </c>
      <c r="B34" t="s">
        <v>25</v>
      </c>
      <c r="C34" t="s">
        <v>28</v>
      </c>
      <c r="D34" t="s">
        <v>29</v>
      </c>
      <c r="E34" t="s">
        <v>28</v>
      </c>
      <c r="F34" t="s">
        <v>28</v>
      </c>
      <c r="G34" t="s">
        <v>28</v>
      </c>
      <c r="H34" t="s">
        <v>28</v>
      </c>
      <c r="I34" t="s">
        <v>29</v>
      </c>
      <c r="J34" t="s">
        <v>28</v>
      </c>
      <c r="K34" t="s">
        <v>28</v>
      </c>
      <c r="L34" t="s">
        <v>28</v>
      </c>
      <c r="M34" t="s">
        <v>29</v>
      </c>
      <c r="N34" t="s">
        <v>28</v>
      </c>
      <c r="O34" t="s">
        <v>30</v>
      </c>
    </row>
    <row r="35" spans="1:52" x14ac:dyDescent="0.3">
      <c r="A35" t="s">
        <v>28</v>
      </c>
      <c r="B35">
        <f>COUNTIF(B2:B33,$A45)</f>
        <v>16</v>
      </c>
      <c r="C35">
        <f t="shared" ref="C35:N35" si="34">COUNTIF(C2:C33,$A35)</f>
        <v>15</v>
      </c>
      <c r="D35">
        <f t="shared" si="34"/>
        <v>7</v>
      </c>
      <c r="E35">
        <f t="shared" si="34"/>
        <v>18</v>
      </c>
      <c r="F35">
        <f t="shared" si="34"/>
        <v>16</v>
      </c>
      <c r="G35">
        <f t="shared" si="34"/>
        <v>16</v>
      </c>
      <c r="H35">
        <f t="shared" si="34"/>
        <v>16</v>
      </c>
      <c r="I35">
        <f t="shared" si="34"/>
        <v>8</v>
      </c>
      <c r="J35">
        <f t="shared" si="34"/>
        <v>16</v>
      </c>
      <c r="K35">
        <f t="shared" si="34"/>
        <v>16</v>
      </c>
      <c r="L35">
        <f t="shared" si="34"/>
        <v>16</v>
      </c>
      <c r="M35">
        <f t="shared" si="34"/>
        <v>7</v>
      </c>
      <c r="N35">
        <f t="shared" si="34"/>
        <v>16</v>
      </c>
      <c r="O35">
        <f>COUNTIF(O2:O33,$A48)</f>
        <v>16</v>
      </c>
      <c r="U35">
        <f t="shared" ref="U35:AB35" si="35">SUM(U2:U33)</f>
        <v>167</v>
      </c>
      <c r="V35">
        <f t="shared" si="35"/>
        <v>147</v>
      </c>
      <c r="W35">
        <f t="shared" si="35"/>
        <v>147</v>
      </c>
      <c r="X35">
        <f t="shared" si="35"/>
        <v>146</v>
      </c>
      <c r="Y35">
        <f t="shared" si="35"/>
        <v>143</v>
      </c>
      <c r="Z35">
        <f t="shared" si="35"/>
        <v>140</v>
      </c>
      <c r="AA35">
        <f t="shared" si="35"/>
        <v>117</v>
      </c>
      <c r="AB35">
        <f t="shared" si="35"/>
        <v>127</v>
      </c>
      <c r="AC35">
        <f>SUM(AC2:AC33)</f>
        <v>123</v>
      </c>
      <c r="AD35">
        <f t="shared" ref="AD35:AY35" si="36">SUM(AD2:AD33)</f>
        <v>115</v>
      </c>
      <c r="AE35">
        <f t="shared" si="36"/>
        <v>102</v>
      </c>
      <c r="AF35">
        <f t="shared" si="36"/>
        <v>101</v>
      </c>
      <c r="AG35">
        <f t="shared" si="36"/>
        <v>96</v>
      </c>
      <c r="AH35">
        <f t="shared" si="36"/>
        <v>86</v>
      </c>
      <c r="AI35">
        <f t="shared" si="36"/>
        <v>82</v>
      </c>
      <c r="AJ35">
        <f t="shared" si="36"/>
        <v>85</v>
      </c>
      <c r="AK35">
        <f t="shared" si="36"/>
        <v>72</v>
      </c>
      <c r="AL35">
        <f t="shared" si="36"/>
        <v>65</v>
      </c>
      <c r="AM35">
        <f t="shared" si="36"/>
        <v>61</v>
      </c>
      <c r="AN35">
        <f t="shared" si="36"/>
        <v>65</v>
      </c>
      <c r="AO35">
        <f t="shared" si="36"/>
        <v>58</v>
      </c>
      <c r="AP35">
        <f t="shared" si="36"/>
        <v>53</v>
      </c>
      <c r="AQ35">
        <f t="shared" si="36"/>
        <v>38</v>
      </c>
      <c r="AR35">
        <f t="shared" si="36"/>
        <v>34</v>
      </c>
      <c r="AS35">
        <f t="shared" si="36"/>
        <v>30</v>
      </c>
      <c r="AT35">
        <f t="shared" si="36"/>
        <v>28</v>
      </c>
      <c r="AU35">
        <f t="shared" si="36"/>
        <v>21</v>
      </c>
      <c r="AV35">
        <f t="shared" si="36"/>
        <v>19</v>
      </c>
      <c r="AW35">
        <f t="shared" si="36"/>
        <v>12</v>
      </c>
      <c r="AX35">
        <f t="shared" si="36"/>
        <v>10</v>
      </c>
      <c r="AY35">
        <f t="shared" si="36"/>
        <v>2</v>
      </c>
      <c r="AZ35">
        <f>SUM(U35:AY35)</f>
        <v>2492</v>
      </c>
    </row>
    <row r="36" spans="1:52" x14ac:dyDescent="0.3">
      <c r="A36" t="s">
        <v>27</v>
      </c>
      <c r="B36">
        <f>COUNTIF(B2:B33,$A46)</f>
        <v>10</v>
      </c>
      <c r="C36">
        <f t="shared" ref="C36:N36" si="37">COUNTIF(C2:C33,$A36)</f>
        <v>9</v>
      </c>
      <c r="D36">
        <f t="shared" si="37"/>
        <v>9</v>
      </c>
      <c r="E36">
        <f t="shared" si="37"/>
        <v>8</v>
      </c>
      <c r="F36">
        <f t="shared" si="37"/>
        <v>7</v>
      </c>
      <c r="G36">
        <f t="shared" si="37"/>
        <v>9</v>
      </c>
      <c r="H36">
        <f t="shared" si="37"/>
        <v>10</v>
      </c>
      <c r="I36">
        <f t="shared" si="37"/>
        <v>8</v>
      </c>
      <c r="J36">
        <f t="shared" si="37"/>
        <v>7</v>
      </c>
      <c r="K36">
        <f t="shared" si="37"/>
        <v>8</v>
      </c>
      <c r="L36">
        <f t="shared" si="37"/>
        <v>8</v>
      </c>
      <c r="M36">
        <f t="shared" si="37"/>
        <v>9</v>
      </c>
      <c r="N36">
        <f t="shared" si="37"/>
        <v>7</v>
      </c>
      <c r="O36">
        <f>COUNTIF(O2:O33,$A49)</f>
        <v>7</v>
      </c>
    </row>
    <row r="37" spans="1:52" x14ac:dyDescent="0.3">
      <c r="A37" t="s">
        <v>29</v>
      </c>
      <c r="B37">
        <f>COUNTIF(B2:B33,$A47)</f>
        <v>6</v>
      </c>
      <c r="C37">
        <f t="shared" ref="C37:N37" si="38">COUNTIF(C2:C33,$A37)</f>
        <v>8</v>
      </c>
      <c r="D37">
        <f t="shared" si="38"/>
        <v>16</v>
      </c>
      <c r="E37">
        <f t="shared" si="38"/>
        <v>6</v>
      </c>
      <c r="F37">
        <f t="shared" si="38"/>
        <v>9</v>
      </c>
      <c r="G37">
        <f t="shared" si="38"/>
        <v>7</v>
      </c>
      <c r="H37">
        <f t="shared" si="38"/>
        <v>6</v>
      </c>
      <c r="I37">
        <f t="shared" si="38"/>
        <v>16</v>
      </c>
      <c r="J37">
        <f t="shared" si="38"/>
        <v>9</v>
      </c>
      <c r="K37">
        <f t="shared" si="38"/>
        <v>8</v>
      </c>
      <c r="L37">
        <f t="shared" si="38"/>
        <v>8</v>
      </c>
      <c r="M37">
        <f t="shared" si="38"/>
        <v>16</v>
      </c>
      <c r="N37">
        <f t="shared" si="38"/>
        <v>9</v>
      </c>
      <c r="O37">
        <f>COUNTIF(O2:O33,$A50)</f>
        <v>9</v>
      </c>
      <c r="Q37" t="s">
        <v>119</v>
      </c>
      <c r="R37">
        <f>SUM(R38:R53)</f>
        <v>91</v>
      </c>
      <c r="T37" t="s">
        <v>120</v>
      </c>
    </row>
    <row r="38" spans="1:52" x14ac:dyDescent="0.3">
      <c r="B38">
        <f>SUM(B35:B37)</f>
        <v>32</v>
      </c>
      <c r="C38">
        <f t="shared" ref="C38:O38" si="39">SUM(C35:C37)</f>
        <v>32</v>
      </c>
      <c r="D38">
        <f t="shared" si="39"/>
        <v>32</v>
      </c>
      <c r="E38">
        <f t="shared" si="39"/>
        <v>32</v>
      </c>
      <c r="F38">
        <f t="shared" si="39"/>
        <v>32</v>
      </c>
      <c r="G38">
        <f t="shared" si="39"/>
        <v>32</v>
      </c>
      <c r="H38">
        <f t="shared" si="39"/>
        <v>32</v>
      </c>
      <c r="I38">
        <f t="shared" si="39"/>
        <v>32</v>
      </c>
      <c r="J38">
        <f t="shared" si="39"/>
        <v>32</v>
      </c>
      <c r="K38">
        <f t="shared" si="39"/>
        <v>32</v>
      </c>
      <c r="L38">
        <f t="shared" si="39"/>
        <v>32</v>
      </c>
      <c r="M38">
        <f t="shared" si="39"/>
        <v>32</v>
      </c>
      <c r="N38">
        <f t="shared" si="39"/>
        <v>32</v>
      </c>
      <c r="O38">
        <f t="shared" si="39"/>
        <v>32</v>
      </c>
      <c r="Q38">
        <v>0</v>
      </c>
      <c r="R38">
        <f>COUNTIFS(C$87:O$99,Q38)</f>
        <v>0</v>
      </c>
      <c r="T38">
        <f>COUNTIF(T$2:T$33,Q38)</f>
        <v>0</v>
      </c>
    </row>
    <row r="39" spans="1:52" x14ac:dyDescent="0.3">
      <c r="A39" t="s">
        <v>44</v>
      </c>
      <c r="B39">
        <v>18</v>
      </c>
      <c r="C39">
        <v>3</v>
      </c>
      <c r="D39">
        <v>8</v>
      </c>
      <c r="E39">
        <v>11</v>
      </c>
      <c r="F39">
        <v>5</v>
      </c>
      <c r="G39">
        <v>24</v>
      </c>
      <c r="H39">
        <v>14</v>
      </c>
      <c r="I39">
        <v>18</v>
      </c>
      <c r="J39">
        <v>3</v>
      </c>
      <c r="K39">
        <v>3</v>
      </c>
      <c r="L39">
        <v>19</v>
      </c>
      <c r="M39">
        <v>7</v>
      </c>
      <c r="N39">
        <v>8</v>
      </c>
      <c r="O39">
        <v>3</v>
      </c>
      <c r="Q39">
        <v>1</v>
      </c>
      <c r="R39">
        <f t="shared" ref="R39:R53" si="40">COUNTIFS(C$87:O$99,Q39)</f>
        <v>0</v>
      </c>
      <c r="T39">
        <f t="shared" ref="T39:T52" si="41">COUNTIF(T$2:T$33,Q39)</f>
        <v>0</v>
      </c>
      <c r="U39">
        <v>1</v>
      </c>
      <c r="V39">
        <v>2</v>
      </c>
      <c r="W39">
        <v>3</v>
      </c>
      <c r="X39">
        <v>4</v>
      </c>
      <c r="Y39">
        <v>5</v>
      </c>
      <c r="Z39">
        <v>6</v>
      </c>
      <c r="AA39">
        <v>7</v>
      </c>
      <c r="AB39">
        <v>8</v>
      </c>
      <c r="AC39">
        <v>9</v>
      </c>
      <c r="AD39">
        <v>10</v>
      </c>
      <c r="AE39">
        <v>11</v>
      </c>
      <c r="AF39">
        <v>12</v>
      </c>
      <c r="AG39">
        <v>13</v>
      </c>
      <c r="AH39">
        <v>14</v>
      </c>
    </row>
    <row r="40" spans="1:52" x14ac:dyDescent="0.3">
      <c r="A40" t="s">
        <v>45</v>
      </c>
      <c r="B40">
        <v>8</v>
      </c>
      <c r="C40">
        <v>3</v>
      </c>
      <c r="D40">
        <v>7</v>
      </c>
      <c r="E40">
        <v>12</v>
      </c>
      <c r="F40">
        <v>7</v>
      </c>
      <c r="G40">
        <v>5</v>
      </c>
      <c r="H40">
        <v>10</v>
      </c>
      <c r="I40">
        <v>8</v>
      </c>
      <c r="J40">
        <v>4</v>
      </c>
      <c r="K40">
        <v>4</v>
      </c>
      <c r="L40">
        <v>8</v>
      </c>
      <c r="M40">
        <v>8</v>
      </c>
      <c r="N40">
        <v>11</v>
      </c>
      <c r="O40">
        <v>3</v>
      </c>
      <c r="Q40">
        <v>2</v>
      </c>
      <c r="R40">
        <f t="shared" si="40"/>
        <v>0</v>
      </c>
      <c r="T40">
        <f t="shared" si="41"/>
        <v>0</v>
      </c>
    </row>
    <row r="41" spans="1:52" x14ac:dyDescent="0.3">
      <c r="A41" t="s">
        <v>46</v>
      </c>
      <c r="B41">
        <v>6</v>
      </c>
      <c r="C41">
        <v>26</v>
      </c>
      <c r="D41">
        <v>17</v>
      </c>
      <c r="E41">
        <v>9</v>
      </c>
      <c r="F41">
        <v>20</v>
      </c>
      <c r="G41">
        <v>3</v>
      </c>
      <c r="H41">
        <v>8</v>
      </c>
      <c r="I41">
        <v>6</v>
      </c>
      <c r="J41">
        <v>25</v>
      </c>
      <c r="K41">
        <v>25</v>
      </c>
      <c r="L41">
        <v>5</v>
      </c>
      <c r="M41">
        <v>17</v>
      </c>
      <c r="N41">
        <v>13</v>
      </c>
      <c r="O41">
        <v>26</v>
      </c>
      <c r="Q41">
        <v>3</v>
      </c>
      <c r="R41">
        <f t="shared" si="40"/>
        <v>0</v>
      </c>
      <c r="T41">
        <f t="shared" si="41"/>
        <v>0</v>
      </c>
    </row>
    <row r="42" spans="1:52" x14ac:dyDescent="0.3">
      <c r="B42">
        <f>B35-B39</f>
        <v>-2</v>
      </c>
      <c r="C42">
        <f t="shared" ref="C42:O42" si="42">C35-C39</f>
        <v>12</v>
      </c>
      <c r="D42">
        <f t="shared" si="42"/>
        <v>-1</v>
      </c>
      <c r="E42">
        <f t="shared" si="42"/>
        <v>7</v>
      </c>
      <c r="F42">
        <f t="shared" si="42"/>
        <v>11</v>
      </c>
      <c r="G42">
        <f t="shared" si="42"/>
        <v>-8</v>
      </c>
      <c r="H42">
        <f t="shared" si="42"/>
        <v>2</v>
      </c>
      <c r="I42">
        <f t="shared" si="42"/>
        <v>-10</v>
      </c>
      <c r="J42">
        <f t="shared" si="42"/>
        <v>13</v>
      </c>
      <c r="K42">
        <f t="shared" si="42"/>
        <v>13</v>
      </c>
      <c r="L42">
        <f t="shared" si="42"/>
        <v>-3</v>
      </c>
      <c r="M42">
        <f t="shared" si="42"/>
        <v>0</v>
      </c>
      <c r="N42">
        <f t="shared" si="42"/>
        <v>8</v>
      </c>
      <c r="O42">
        <f t="shared" si="42"/>
        <v>13</v>
      </c>
      <c r="Q42">
        <v>4</v>
      </c>
      <c r="R42">
        <f t="shared" si="40"/>
        <v>0</v>
      </c>
      <c r="T42">
        <f t="shared" si="41"/>
        <v>0</v>
      </c>
    </row>
    <row r="43" spans="1:52" x14ac:dyDescent="0.3">
      <c r="B43">
        <f t="shared" ref="B43:O44" si="43">B36-B40</f>
        <v>2</v>
      </c>
      <c r="C43">
        <f t="shared" si="43"/>
        <v>6</v>
      </c>
      <c r="D43">
        <f t="shared" si="43"/>
        <v>2</v>
      </c>
      <c r="E43">
        <f t="shared" si="43"/>
        <v>-4</v>
      </c>
      <c r="F43">
        <f t="shared" si="43"/>
        <v>0</v>
      </c>
      <c r="G43">
        <f t="shared" si="43"/>
        <v>4</v>
      </c>
      <c r="H43">
        <f t="shared" si="43"/>
        <v>0</v>
      </c>
      <c r="I43">
        <f t="shared" si="43"/>
        <v>0</v>
      </c>
      <c r="J43">
        <f t="shared" si="43"/>
        <v>3</v>
      </c>
      <c r="K43">
        <f t="shared" si="43"/>
        <v>4</v>
      </c>
      <c r="L43">
        <f t="shared" si="43"/>
        <v>0</v>
      </c>
      <c r="M43">
        <f t="shared" si="43"/>
        <v>1</v>
      </c>
      <c r="N43">
        <f t="shared" si="43"/>
        <v>-4</v>
      </c>
      <c r="O43">
        <f t="shared" si="43"/>
        <v>4</v>
      </c>
      <c r="Q43">
        <v>5</v>
      </c>
      <c r="R43">
        <f t="shared" si="40"/>
        <v>8</v>
      </c>
      <c r="T43">
        <f t="shared" si="41"/>
        <v>0</v>
      </c>
    </row>
    <row r="44" spans="1:52" x14ac:dyDescent="0.3">
      <c r="B44">
        <f t="shared" si="43"/>
        <v>0</v>
      </c>
      <c r="C44">
        <f t="shared" si="43"/>
        <v>-18</v>
      </c>
      <c r="D44">
        <f t="shared" si="43"/>
        <v>-1</v>
      </c>
      <c r="E44">
        <f t="shared" si="43"/>
        <v>-3</v>
      </c>
      <c r="F44">
        <f t="shared" si="43"/>
        <v>-11</v>
      </c>
      <c r="G44">
        <f t="shared" si="43"/>
        <v>4</v>
      </c>
      <c r="H44">
        <f t="shared" si="43"/>
        <v>-2</v>
      </c>
      <c r="I44">
        <f t="shared" si="43"/>
        <v>10</v>
      </c>
      <c r="J44">
        <f t="shared" si="43"/>
        <v>-16</v>
      </c>
      <c r="K44">
        <f t="shared" si="43"/>
        <v>-17</v>
      </c>
      <c r="L44">
        <f t="shared" si="43"/>
        <v>3</v>
      </c>
      <c r="M44">
        <f t="shared" si="43"/>
        <v>-1</v>
      </c>
      <c r="N44">
        <f t="shared" si="43"/>
        <v>-4</v>
      </c>
      <c r="O44">
        <f t="shared" si="43"/>
        <v>-17</v>
      </c>
      <c r="P44">
        <f>SUMIF(B42:O44,"&lt;0")</f>
        <v>-122</v>
      </c>
      <c r="Q44">
        <v>6</v>
      </c>
      <c r="R44">
        <f t="shared" si="40"/>
        <v>19</v>
      </c>
      <c r="T44">
        <f t="shared" si="41"/>
        <v>10</v>
      </c>
    </row>
    <row r="45" spans="1:52" x14ac:dyDescent="0.3">
      <c r="A45" t="s">
        <v>25</v>
      </c>
      <c r="Q45">
        <v>7</v>
      </c>
      <c r="R45">
        <f t="shared" si="40"/>
        <v>24</v>
      </c>
      <c r="T45">
        <f t="shared" si="41"/>
        <v>11</v>
      </c>
    </row>
    <row r="46" spans="1:52" x14ac:dyDescent="0.3">
      <c r="A46" t="s">
        <v>26</v>
      </c>
      <c r="Q46">
        <v>8</v>
      </c>
      <c r="R46">
        <f t="shared" si="40"/>
        <v>18</v>
      </c>
      <c r="T46">
        <f t="shared" si="41"/>
        <v>11</v>
      </c>
    </row>
    <row r="47" spans="1:52" x14ac:dyDescent="0.3">
      <c r="A47" t="s">
        <v>24</v>
      </c>
      <c r="Q47">
        <v>9</v>
      </c>
      <c r="R47">
        <f t="shared" si="40"/>
        <v>12</v>
      </c>
      <c r="T47">
        <f t="shared" si="41"/>
        <v>0</v>
      </c>
    </row>
    <row r="48" spans="1:52" x14ac:dyDescent="0.3">
      <c r="A48" t="s">
        <v>30</v>
      </c>
      <c r="Q48">
        <v>10</v>
      </c>
      <c r="R48">
        <f t="shared" si="40"/>
        <v>8</v>
      </c>
      <c r="T48">
        <f t="shared" si="41"/>
        <v>0</v>
      </c>
    </row>
    <row r="49" spans="1:20" x14ac:dyDescent="0.3">
      <c r="A49" t="s">
        <v>32</v>
      </c>
      <c r="Q49">
        <v>11</v>
      </c>
      <c r="R49">
        <f t="shared" si="40"/>
        <v>2</v>
      </c>
      <c r="T49">
        <f t="shared" si="41"/>
        <v>0</v>
      </c>
    </row>
    <row r="50" spans="1:20" x14ac:dyDescent="0.3">
      <c r="A50" t="s">
        <v>31</v>
      </c>
      <c r="Q50">
        <v>12</v>
      </c>
      <c r="R50">
        <f t="shared" si="40"/>
        <v>0</v>
      </c>
      <c r="T50">
        <f t="shared" si="41"/>
        <v>0</v>
      </c>
    </row>
    <row r="51" spans="1:20" x14ac:dyDescent="0.3">
      <c r="B51" t="s">
        <v>83</v>
      </c>
      <c r="Q51">
        <v>13</v>
      </c>
      <c r="R51">
        <f t="shared" si="40"/>
        <v>0</v>
      </c>
      <c r="T51">
        <f t="shared" si="41"/>
        <v>0</v>
      </c>
    </row>
    <row r="52" spans="1:20" x14ac:dyDescent="0.3"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I52">
        <v>8</v>
      </c>
      <c r="J52">
        <v>9</v>
      </c>
      <c r="K52">
        <v>10</v>
      </c>
      <c r="L52">
        <v>11</v>
      </c>
      <c r="M52">
        <v>12</v>
      </c>
      <c r="N52">
        <v>13</v>
      </c>
      <c r="O52">
        <v>14</v>
      </c>
      <c r="Q52">
        <v>14</v>
      </c>
      <c r="R52">
        <f t="shared" si="40"/>
        <v>0</v>
      </c>
      <c r="T52">
        <f t="shared" si="41"/>
        <v>0</v>
      </c>
    </row>
    <row r="53" spans="1:20" x14ac:dyDescent="0.3">
      <c r="A53">
        <v>1</v>
      </c>
      <c r="B53" t="str">
        <f>IF(B2&lt;&gt;B$34,"X","")</f>
        <v/>
      </c>
      <c r="C53" t="str">
        <f t="shared" ref="C53:O53" si="44">IF(C2&lt;&gt;C$34,"X","")</f>
        <v/>
      </c>
      <c r="D53" t="str">
        <f t="shared" si="44"/>
        <v>X</v>
      </c>
      <c r="E53" t="str">
        <f t="shared" si="44"/>
        <v/>
      </c>
      <c r="F53" t="str">
        <f t="shared" si="44"/>
        <v/>
      </c>
      <c r="G53" t="str">
        <f t="shared" si="44"/>
        <v>X</v>
      </c>
      <c r="H53" t="str">
        <f t="shared" si="44"/>
        <v>X</v>
      </c>
      <c r="I53" t="str">
        <f t="shared" si="44"/>
        <v/>
      </c>
      <c r="J53" t="str">
        <f t="shared" si="44"/>
        <v/>
      </c>
      <c r="K53" t="str">
        <f t="shared" si="44"/>
        <v>X</v>
      </c>
      <c r="L53" t="str">
        <f t="shared" si="44"/>
        <v/>
      </c>
      <c r="M53" t="str">
        <f t="shared" si="44"/>
        <v>X</v>
      </c>
      <c r="N53" t="str">
        <f t="shared" si="44"/>
        <v/>
      </c>
      <c r="O53" t="str">
        <f t="shared" si="44"/>
        <v>X</v>
      </c>
      <c r="Q53">
        <v>15</v>
      </c>
      <c r="R53">
        <f t="shared" si="40"/>
        <v>0</v>
      </c>
    </row>
    <row r="54" spans="1:20" x14ac:dyDescent="0.3">
      <c r="A54">
        <v>2</v>
      </c>
      <c r="B54" t="str">
        <f t="shared" ref="B54:O84" si="45">IF(B3&lt;&gt;B$34,"X","")</f>
        <v>X</v>
      </c>
      <c r="C54" t="str">
        <f t="shared" si="45"/>
        <v>X</v>
      </c>
      <c r="D54" t="str">
        <f t="shared" si="45"/>
        <v/>
      </c>
      <c r="E54" t="str">
        <f t="shared" si="45"/>
        <v/>
      </c>
      <c r="F54" t="str">
        <f t="shared" si="45"/>
        <v>X</v>
      </c>
      <c r="G54" t="str">
        <f t="shared" si="45"/>
        <v/>
      </c>
      <c r="H54" t="str">
        <f t="shared" si="45"/>
        <v/>
      </c>
      <c r="I54" t="str">
        <f t="shared" si="45"/>
        <v>X</v>
      </c>
      <c r="J54" t="str">
        <f t="shared" si="45"/>
        <v>X</v>
      </c>
      <c r="K54" t="str">
        <f t="shared" si="45"/>
        <v/>
      </c>
      <c r="L54" t="str">
        <f t="shared" si="45"/>
        <v>X</v>
      </c>
      <c r="M54" t="str">
        <f t="shared" si="45"/>
        <v/>
      </c>
      <c r="N54" t="str">
        <f t="shared" si="45"/>
        <v>X</v>
      </c>
      <c r="O54" t="str">
        <f t="shared" si="45"/>
        <v>X</v>
      </c>
    </row>
    <row r="55" spans="1:20" x14ac:dyDescent="0.3">
      <c r="A55">
        <v>3</v>
      </c>
      <c r="B55" t="str">
        <f t="shared" si="45"/>
        <v>X</v>
      </c>
      <c r="C55" t="str">
        <f t="shared" si="45"/>
        <v/>
      </c>
      <c r="D55" t="str">
        <f t="shared" si="45"/>
        <v/>
      </c>
      <c r="E55" t="str">
        <f t="shared" si="45"/>
        <v>X</v>
      </c>
      <c r="F55" t="str">
        <f t="shared" si="45"/>
        <v>X</v>
      </c>
      <c r="G55" t="str">
        <f t="shared" si="45"/>
        <v>X</v>
      </c>
      <c r="H55" t="str">
        <f t="shared" si="45"/>
        <v/>
      </c>
      <c r="I55" t="str">
        <f t="shared" si="45"/>
        <v>X</v>
      </c>
      <c r="J55" t="str">
        <f t="shared" si="45"/>
        <v>X</v>
      </c>
      <c r="K55" t="str">
        <f t="shared" si="45"/>
        <v/>
      </c>
      <c r="L55" t="str">
        <f t="shared" si="45"/>
        <v>X</v>
      </c>
      <c r="M55" t="str">
        <f t="shared" si="45"/>
        <v/>
      </c>
      <c r="N55" t="str">
        <f t="shared" si="45"/>
        <v/>
      </c>
      <c r="O55" t="str">
        <f t="shared" si="45"/>
        <v/>
      </c>
    </row>
    <row r="56" spans="1:20" x14ac:dyDescent="0.3">
      <c r="A56">
        <v>4</v>
      </c>
      <c r="B56" t="str">
        <f t="shared" si="45"/>
        <v/>
      </c>
      <c r="C56" t="str">
        <f t="shared" si="45"/>
        <v>X</v>
      </c>
      <c r="D56" t="str">
        <f t="shared" si="45"/>
        <v>X</v>
      </c>
      <c r="E56" t="str">
        <f t="shared" si="45"/>
        <v>X</v>
      </c>
      <c r="F56" t="str">
        <f t="shared" si="45"/>
        <v/>
      </c>
      <c r="G56" t="str">
        <f t="shared" si="45"/>
        <v/>
      </c>
      <c r="H56" t="str">
        <f t="shared" si="45"/>
        <v>X</v>
      </c>
      <c r="I56" t="str">
        <f t="shared" si="45"/>
        <v>X</v>
      </c>
      <c r="J56" t="str">
        <f t="shared" si="45"/>
        <v/>
      </c>
      <c r="K56" t="str">
        <f t="shared" si="45"/>
        <v/>
      </c>
      <c r="L56" t="str">
        <f t="shared" si="45"/>
        <v/>
      </c>
      <c r="M56" t="str">
        <f t="shared" si="45"/>
        <v>X</v>
      </c>
      <c r="N56" t="str">
        <f t="shared" si="45"/>
        <v>X</v>
      </c>
      <c r="O56" t="str">
        <f t="shared" si="45"/>
        <v/>
      </c>
    </row>
    <row r="57" spans="1:20" x14ac:dyDescent="0.3">
      <c r="A57">
        <v>5</v>
      </c>
      <c r="B57" t="str">
        <f t="shared" si="45"/>
        <v/>
      </c>
      <c r="C57" t="str">
        <f t="shared" si="45"/>
        <v>X</v>
      </c>
      <c r="D57" t="str">
        <f t="shared" si="45"/>
        <v>X</v>
      </c>
      <c r="E57" t="str">
        <f t="shared" si="45"/>
        <v/>
      </c>
      <c r="F57" t="str">
        <f t="shared" si="45"/>
        <v>X</v>
      </c>
      <c r="G57" t="str">
        <f t="shared" si="45"/>
        <v/>
      </c>
      <c r="H57" t="str">
        <f t="shared" si="45"/>
        <v/>
      </c>
      <c r="I57" t="str">
        <f t="shared" si="45"/>
        <v/>
      </c>
      <c r="J57" t="str">
        <f t="shared" si="45"/>
        <v/>
      </c>
      <c r="K57" t="str">
        <f t="shared" si="45"/>
        <v>X</v>
      </c>
      <c r="L57" t="str">
        <f t="shared" si="45"/>
        <v>X</v>
      </c>
      <c r="M57" t="str">
        <f t="shared" si="45"/>
        <v/>
      </c>
      <c r="N57" t="str">
        <f t="shared" si="45"/>
        <v/>
      </c>
      <c r="O57" t="str">
        <f t="shared" si="45"/>
        <v>X</v>
      </c>
    </row>
    <row r="58" spans="1:20" x14ac:dyDescent="0.3">
      <c r="A58">
        <v>6</v>
      </c>
      <c r="B58" t="str">
        <f t="shared" si="45"/>
        <v>X</v>
      </c>
      <c r="C58" t="str">
        <f t="shared" si="45"/>
        <v/>
      </c>
      <c r="D58" t="str">
        <f t="shared" si="45"/>
        <v/>
      </c>
      <c r="E58" t="str">
        <f t="shared" si="45"/>
        <v>X</v>
      </c>
      <c r="F58" t="str">
        <f t="shared" si="45"/>
        <v/>
      </c>
      <c r="G58" t="str">
        <f t="shared" si="45"/>
        <v>X</v>
      </c>
      <c r="H58" t="str">
        <f t="shared" si="45"/>
        <v>X</v>
      </c>
      <c r="I58" t="str">
        <f t="shared" si="45"/>
        <v/>
      </c>
      <c r="J58" t="str">
        <f t="shared" si="45"/>
        <v>X</v>
      </c>
      <c r="K58" t="str">
        <f t="shared" si="45"/>
        <v>X</v>
      </c>
      <c r="L58" t="str">
        <f t="shared" si="45"/>
        <v/>
      </c>
      <c r="M58" t="str">
        <f t="shared" si="45"/>
        <v>X</v>
      </c>
      <c r="N58" t="str">
        <f t="shared" si="45"/>
        <v>X</v>
      </c>
      <c r="O58" t="str">
        <f t="shared" si="45"/>
        <v/>
      </c>
    </row>
    <row r="59" spans="1:20" x14ac:dyDescent="0.3">
      <c r="A59">
        <v>7</v>
      </c>
      <c r="B59" t="str">
        <f t="shared" si="45"/>
        <v/>
      </c>
      <c r="C59" t="str">
        <f t="shared" si="45"/>
        <v>X</v>
      </c>
      <c r="D59" t="str">
        <f t="shared" si="45"/>
        <v/>
      </c>
      <c r="E59" t="str">
        <f t="shared" si="45"/>
        <v>X</v>
      </c>
      <c r="F59" t="str">
        <f t="shared" si="45"/>
        <v/>
      </c>
      <c r="G59" t="str">
        <f t="shared" si="45"/>
        <v>X</v>
      </c>
      <c r="H59" t="str">
        <f t="shared" si="45"/>
        <v/>
      </c>
      <c r="I59" t="str">
        <f t="shared" si="45"/>
        <v>X</v>
      </c>
      <c r="J59" t="str">
        <f t="shared" si="45"/>
        <v/>
      </c>
      <c r="K59" t="str">
        <f t="shared" si="45"/>
        <v>X</v>
      </c>
      <c r="L59" t="str">
        <f t="shared" si="45"/>
        <v>X</v>
      </c>
      <c r="M59" t="str">
        <f t="shared" si="45"/>
        <v/>
      </c>
      <c r="N59" t="str">
        <f t="shared" si="45"/>
        <v>X</v>
      </c>
      <c r="O59" t="str">
        <f t="shared" si="45"/>
        <v/>
      </c>
    </row>
    <row r="60" spans="1:20" x14ac:dyDescent="0.3">
      <c r="A60">
        <v>8</v>
      </c>
      <c r="B60" t="str">
        <f t="shared" si="45"/>
        <v>X</v>
      </c>
      <c r="C60" t="str">
        <f t="shared" si="45"/>
        <v/>
      </c>
      <c r="D60" t="str">
        <f t="shared" si="45"/>
        <v/>
      </c>
      <c r="E60" t="str">
        <f t="shared" si="45"/>
        <v>X</v>
      </c>
      <c r="F60" t="str">
        <f t="shared" si="45"/>
        <v>X</v>
      </c>
      <c r="G60" t="str">
        <f t="shared" si="45"/>
        <v>X</v>
      </c>
      <c r="H60" t="str">
        <f t="shared" si="45"/>
        <v>X</v>
      </c>
      <c r="I60" t="str">
        <f t="shared" si="45"/>
        <v/>
      </c>
      <c r="J60" t="str">
        <f t="shared" si="45"/>
        <v>X</v>
      </c>
      <c r="K60" t="str">
        <f t="shared" si="45"/>
        <v/>
      </c>
      <c r="L60" t="str">
        <f t="shared" si="45"/>
        <v/>
      </c>
      <c r="M60" t="str">
        <f t="shared" si="45"/>
        <v>X</v>
      </c>
      <c r="N60" t="str">
        <f t="shared" si="45"/>
        <v/>
      </c>
      <c r="O60" t="str">
        <f t="shared" si="45"/>
        <v>X</v>
      </c>
    </row>
    <row r="61" spans="1:20" x14ac:dyDescent="0.3">
      <c r="A61">
        <v>9</v>
      </c>
      <c r="B61" t="str">
        <f t="shared" si="45"/>
        <v>X</v>
      </c>
      <c r="C61" t="str">
        <f t="shared" si="45"/>
        <v/>
      </c>
      <c r="D61" t="str">
        <f t="shared" si="45"/>
        <v>X</v>
      </c>
      <c r="E61" t="str">
        <f t="shared" si="45"/>
        <v/>
      </c>
      <c r="F61" t="str">
        <f t="shared" si="45"/>
        <v>X</v>
      </c>
      <c r="G61" t="str">
        <f t="shared" si="45"/>
        <v/>
      </c>
      <c r="H61" t="str">
        <f t="shared" si="45"/>
        <v/>
      </c>
      <c r="I61" t="str">
        <f t="shared" si="45"/>
        <v>X</v>
      </c>
      <c r="J61" t="str">
        <f t="shared" si="45"/>
        <v>X</v>
      </c>
      <c r="K61" t="str">
        <f t="shared" si="45"/>
        <v/>
      </c>
      <c r="L61" t="str">
        <f t="shared" si="45"/>
        <v>X</v>
      </c>
      <c r="M61" t="str">
        <f t="shared" si="45"/>
        <v>X</v>
      </c>
      <c r="N61" t="str">
        <f t="shared" si="45"/>
        <v/>
      </c>
      <c r="O61" t="str">
        <f t="shared" si="45"/>
        <v/>
      </c>
    </row>
    <row r="62" spans="1:20" x14ac:dyDescent="0.3">
      <c r="A62">
        <v>10</v>
      </c>
      <c r="B62" t="str">
        <f t="shared" si="45"/>
        <v>X</v>
      </c>
      <c r="C62" t="str">
        <f t="shared" si="45"/>
        <v>X</v>
      </c>
      <c r="D62" t="str">
        <f t="shared" si="45"/>
        <v>X</v>
      </c>
      <c r="E62" t="str">
        <f t="shared" si="45"/>
        <v/>
      </c>
      <c r="F62" t="str">
        <f t="shared" si="45"/>
        <v/>
      </c>
      <c r="G62" t="str">
        <f t="shared" si="45"/>
        <v/>
      </c>
      <c r="H62" t="str">
        <f t="shared" si="45"/>
        <v>X</v>
      </c>
      <c r="I62" t="str">
        <f t="shared" si="45"/>
        <v>X</v>
      </c>
      <c r="J62" t="str">
        <f t="shared" si="45"/>
        <v/>
      </c>
      <c r="K62" t="str">
        <f t="shared" si="45"/>
        <v>X</v>
      </c>
      <c r="L62" t="str">
        <f t="shared" si="45"/>
        <v/>
      </c>
      <c r="M62" t="str">
        <f t="shared" si="45"/>
        <v/>
      </c>
      <c r="N62" t="str">
        <f t="shared" si="45"/>
        <v>X</v>
      </c>
      <c r="O62" t="str">
        <f t="shared" si="45"/>
        <v>X</v>
      </c>
    </row>
    <row r="63" spans="1:20" x14ac:dyDescent="0.3">
      <c r="A63">
        <v>11</v>
      </c>
      <c r="B63" t="str">
        <f t="shared" si="45"/>
        <v/>
      </c>
      <c r="C63" t="str">
        <f t="shared" si="45"/>
        <v/>
      </c>
      <c r="D63" t="str">
        <f t="shared" si="45"/>
        <v/>
      </c>
      <c r="E63" t="str">
        <f t="shared" si="45"/>
        <v>X</v>
      </c>
      <c r="F63" t="str">
        <f t="shared" si="45"/>
        <v>X</v>
      </c>
      <c r="G63" t="str">
        <f t="shared" si="45"/>
        <v/>
      </c>
      <c r="H63" t="str">
        <f t="shared" si="45"/>
        <v/>
      </c>
      <c r="I63" t="str">
        <f t="shared" si="45"/>
        <v/>
      </c>
      <c r="J63" t="str">
        <f t="shared" si="45"/>
        <v>X</v>
      </c>
      <c r="K63" t="str">
        <f t="shared" si="45"/>
        <v/>
      </c>
      <c r="L63" t="str">
        <f t="shared" si="45"/>
        <v/>
      </c>
      <c r="M63" t="str">
        <f t="shared" si="45"/>
        <v>X</v>
      </c>
      <c r="N63" t="str">
        <f t="shared" si="45"/>
        <v>X</v>
      </c>
      <c r="O63" t="str">
        <f t="shared" si="45"/>
        <v>X</v>
      </c>
    </row>
    <row r="64" spans="1:20" x14ac:dyDescent="0.3">
      <c r="A64">
        <v>12</v>
      </c>
      <c r="B64" t="str">
        <f t="shared" si="45"/>
        <v/>
      </c>
      <c r="C64" t="str">
        <f t="shared" si="45"/>
        <v/>
      </c>
      <c r="D64" t="str">
        <f t="shared" si="45"/>
        <v>X</v>
      </c>
      <c r="E64" t="str">
        <f t="shared" si="45"/>
        <v/>
      </c>
      <c r="F64" t="str">
        <f t="shared" si="45"/>
        <v/>
      </c>
      <c r="G64" t="str">
        <f t="shared" si="45"/>
        <v>X</v>
      </c>
      <c r="H64" t="str">
        <f t="shared" si="45"/>
        <v>X</v>
      </c>
      <c r="I64" t="str">
        <f t="shared" si="45"/>
        <v/>
      </c>
      <c r="J64" t="str">
        <f t="shared" si="45"/>
        <v>X</v>
      </c>
      <c r="K64" t="str">
        <f t="shared" si="45"/>
        <v>X</v>
      </c>
      <c r="L64" t="str">
        <f t="shared" si="45"/>
        <v>X</v>
      </c>
      <c r="M64" t="str">
        <f t="shared" si="45"/>
        <v/>
      </c>
      <c r="N64" t="str">
        <f t="shared" si="45"/>
        <v/>
      </c>
      <c r="O64" t="str">
        <f t="shared" si="45"/>
        <v/>
      </c>
    </row>
    <row r="65" spans="1:15" x14ac:dyDescent="0.3">
      <c r="A65">
        <v>13</v>
      </c>
      <c r="B65" t="str">
        <f t="shared" si="45"/>
        <v/>
      </c>
      <c r="C65" t="str">
        <f t="shared" si="45"/>
        <v>X</v>
      </c>
      <c r="D65" t="str">
        <f t="shared" si="45"/>
        <v/>
      </c>
      <c r="E65" t="str">
        <f t="shared" si="45"/>
        <v/>
      </c>
      <c r="F65" t="str">
        <f t="shared" si="45"/>
        <v>X</v>
      </c>
      <c r="G65" t="str">
        <f t="shared" si="45"/>
        <v/>
      </c>
      <c r="H65" t="str">
        <f t="shared" si="45"/>
        <v/>
      </c>
      <c r="I65" t="str">
        <f t="shared" si="45"/>
        <v/>
      </c>
      <c r="J65" t="str">
        <f t="shared" si="45"/>
        <v/>
      </c>
      <c r="K65" t="str">
        <f t="shared" si="45"/>
        <v>X</v>
      </c>
      <c r="L65" t="str">
        <f t="shared" si="45"/>
        <v>X</v>
      </c>
      <c r="M65" t="str">
        <f t="shared" si="45"/>
        <v>X</v>
      </c>
      <c r="N65" t="str">
        <f t="shared" si="45"/>
        <v>X</v>
      </c>
      <c r="O65" t="str">
        <f t="shared" si="45"/>
        <v/>
      </c>
    </row>
    <row r="66" spans="1:15" x14ac:dyDescent="0.3">
      <c r="A66">
        <v>14</v>
      </c>
      <c r="B66" t="str">
        <f t="shared" si="45"/>
        <v>X</v>
      </c>
      <c r="C66" t="str">
        <f t="shared" si="45"/>
        <v/>
      </c>
      <c r="D66" t="str">
        <f t="shared" si="45"/>
        <v>X</v>
      </c>
      <c r="E66" t="str">
        <f t="shared" si="45"/>
        <v>X</v>
      </c>
      <c r="F66" t="str">
        <f t="shared" si="45"/>
        <v/>
      </c>
      <c r="G66" t="str">
        <f t="shared" si="45"/>
        <v>X</v>
      </c>
      <c r="H66" t="str">
        <f t="shared" si="45"/>
        <v>X</v>
      </c>
      <c r="I66" t="str">
        <f t="shared" si="45"/>
        <v>X</v>
      </c>
      <c r="J66" t="str">
        <f t="shared" si="45"/>
        <v>X</v>
      </c>
      <c r="K66" t="str">
        <f t="shared" si="45"/>
        <v/>
      </c>
      <c r="L66" t="str">
        <f t="shared" si="45"/>
        <v/>
      </c>
      <c r="M66" t="str">
        <f t="shared" si="45"/>
        <v/>
      </c>
      <c r="N66" t="str">
        <f t="shared" si="45"/>
        <v/>
      </c>
      <c r="O66" t="str">
        <f t="shared" si="45"/>
        <v>X</v>
      </c>
    </row>
    <row r="67" spans="1:15" x14ac:dyDescent="0.3">
      <c r="A67">
        <v>15</v>
      </c>
      <c r="B67" t="str">
        <f t="shared" si="45"/>
        <v/>
      </c>
      <c r="C67" t="str">
        <f t="shared" si="45"/>
        <v>X</v>
      </c>
      <c r="D67" t="str">
        <f t="shared" si="45"/>
        <v>X</v>
      </c>
      <c r="E67" t="str">
        <f t="shared" si="45"/>
        <v/>
      </c>
      <c r="F67" t="str">
        <f t="shared" si="45"/>
        <v/>
      </c>
      <c r="G67" t="str">
        <f t="shared" si="45"/>
        <v>X</v>
      </c>
      <c r="H67" t="str">
        <f t="shared" si="45"/>
        <v>X</v>
      </c>
      <c r="I67" t="str">
        <f t="shared" si="45"/>
        <v/>
      </c>
      <c r="J67" t="str">
        <f t="shared" si="45"/>
        <v/>
      </c>
      <c r="K67" t="str">
        <f t="shared" si="45"/>
        <v/>
      </c>
      <c r="L67" t="str">
        <f t="shared" si="45"/>
        <v>X</v>
      </c>
      <c r="M67" t="str">
        <f t="shared" si="45"/>
        <v>X</v>
      </c>
      <c r="N67" t="str">
        <f t="shared" si="45"/>
        <v>X</v>
      </c>
      <c r="O67" t="str">
        <f t="shared" si="45"/>
        <v>X</v>
      </c>
    </row>
    <row r="68" spans="1:15" x14ac:dyDescent="0.3">
      <c r="A68">
        <v>16</v>
      </c>
      <c r="B68" t="str">
        <f t="shared" si="45"/>
        <v>X</v>
      </c>
      <c r="C68" t="str">
        <f t="shared" si="45"/>
        <v>X</v>
      </c>
      <c r="D68" t="str">
        <f t="shared" si="45"/>
        <v/>
      </c>
      <c r="E68" t="str">
        <f t="shared" si="45"/>
        <v>X</v>
      </c>
      <c r="F68" t="str">
        <f t="shared" si="45"/>
        <v>X</v>
      </c>
      <c r="G68" t="str">
        <f t="shared" si="45"/>
        <v/>
      </c>
      <c r="H68" t="str">
        <f t="shared" si="45"/>
        <v>X</v>
      </c>
      <c r="I68" t="str">
        <f t="shared" si="45"/>
        <v>X</v>
      </c>
      <c r="J68" t="str">
        <f t="shared" si="45"/>
        <v/>
      </c>
      <c r="K68" t="str">
        <f t="shared" si="45"/>
        <v>X</v>
      </c>
      <c r="L68" t="str">
        <f t="shared" si="45"/>
        <v/>
      </c>
      <c r="M68" t="str">
        <f t="shared" si="45"/>
        <v/>
      </c>
      <c r="N68" t="str">
        <f t="shared" si="45"/>
        <v/>
      </c>
      <c r="O68" t="str">
        <f t="shared" si="45"/>
        <v/>
      </c>
    </row>
    <row r="69" spans="1:15" x14ac:dyDescent="0.3">
      <c r="A69">
        <v>17</v>
      </c>
      <c r="B69" t="str">
        <f t="shared" si="45"/>
        <v>X</v>
      </c>
      <c r="C69" t="str">
        <f t="shared" si="45"/>
        <v>X</v>
      </c>
      <c r="D69" t="str">
        <f t="shared" si="45"/>
        <v>X</v>
      </c>
      <c r="E69" t="str">
        <f t="shared" si="45"/>
        <v/>
      </c>
      <c r="F69" t="str">
        <f t="shared" si="45"/>
        <v/>
      </c>
      <c r="G69" t="str">
        <f t="shared" si="45"/>
        <v/>
      </c>
      <c r="H69" t="str">
        <f t="shared" si="45"/>
        <v/>
      </c>
      <c r="I69" t="str">
        <f t="shared" si="45"/>
        <v/>
      </c>
      <c r="J69" t="str">
        <f t="shared" si="45"/>
        <v>X</v>
      </c>
      <c r="K69" t="str">
        <f t="shared" si="45"/>
        <v/>
      </c>
      <c r="L69" t="str">
        <f t="shared" si="45"/>
        <v/>
      </c>
      <c r="M69" t="str">
        <f t="shared" si="45"/>
        <v>X</v>
      </c>
      <c r="N69" t="str">
        <f t="shared" si="45"/>
        <v/>
      </c>
      <c r="O69" t="str">
        <f t="shared" si="45"/>
        <v>X</v>
      </c>
    </row>
    <row r="70" spans="1:15" x14ac:dyDescent="0.3">
      <c r="A70">
        <v>18</v>
      </c>
      <c r="B70" t="str">
        <f t="shared" si="45"/>
        <v/>
      </c>
      <c r="C70" t="str">
        <f t="shared" si="45"/>
        <v>X</v>
      </c>
      <c r="D70" t="str">
        <f t="shared" si="45"/>
        <v/>
      </c>
      <c r="E70" t="str">
        <f t="shared" si="45"/>
        <v>X</v>
      </c>
      <c r="F70" t="str">
        <f t="shared" si="45"/>
        <v/>
      </c>
      <c r="G70" t="str">
        <f t="shared" si="45"/>
        <v>X</v>
      </c>
      <c r="H70" t="str">
        <f t="shared" si="45"/>
        <v/>
      </c>
      <c r="I70" t="str">
        <f t="shared" si="45"/>
        <v>X</v>
      </c>
      <c r="J70" t="str">
        <f t="shared" si="45"/>
        <v/>
      </c>
      <c r="K70" t="str">
        <f t="shared" si="45"/>
        <v>X</v>
      </c>
      <c r="L70" t="str">
        <f t="shared" si="45"/>
        <v>X</v>
      </c>
      <c r="M70" t="str">
        <f t="shared" si="45"/>
        <v/>
      </c>
      <c r="N70" t="str">
        <f t="shared" si="45"/>
        <v>X</v>
      </c>
      <c r="O70" t="str">
        <f t="shared" si="45"/>
        <v>X</v>
      </c>
    </row>
    <row r="71" spans="1:15" x14ac:dyDescent="0.3">
      <c r="A71">
        <v>19</v>
      </c>
      <c r="B71" t="str">
        <f t="shared" si="45"/>
        <v>X</v>
      </c>
      <c r="C71" t="str">
        <f t="shared" si="45"/>
        <v/>
      </c>
      <c r="D71" t="str">
        <f t="shared" si="45"/>
        <v/>
      </c>
      <c r="E71" t="str">
        <f t="shared" si="45"/>
        <v/>
      </c>
      <c r="F71" t="str">
        <f t="shared" ref="C71:O84" si="46">IF(F20&lt;&gt;F$34,"X","")</f>
        <v>X</v>
      </c>
      <c r="G71" t="str">
        <f t="shared" si="46"/>
        <v>X</v>
      </c>
      <c r="H71" t="str">
        <f t="shared" si="46"/>
        <v>X</v>
      </c>
      <c r="I71" t="str">
        <f t="shared" si="46"/>
        <v/>
      </c>
      <c r="J71" t="str">
        <f t="shared" si="46"/>
        <v>X</v>
      </c>
      <c r="K71" t="str">
        <f t="shared" si="46"/>
        <v>X</v>
      </c>
      <c r="L71" t="str">
        <f t="shared" si="46"/>
        <v>X</v>
      </c>
      <c r="M71" t="str">
        <f t="shared" si="46"/>
        <v>X</v>
      </c>
      <c r="N71" t="str">
        <f t="shared" si="46"/>
        <v/>
      </c>
      <c r="O71" t="str">
        <f t="shared" si="46"/>
        <v/>
      </c>
    </row>
    <row r="72" spans="1:15" x14ac:dyDescent="0.3">
      <c r="A72">
        <v>20</v>
      </c>
      <c r="B72" t="str">
        <f t="shared" si="45"/>
        <v/>
      </c>
      <c r="C72" t="str">
        <f t="shared" si="46"/>
        <v>X</v>
      </c>
      <c r="D72" t="str">
        <f t="shared" si="46"/>
        <v>X</v>
      </c>
      <c r="E72" t="str">
        <f t="shared" si="46"/>
        <v>X</v>
      </c>
      <c r="F72" t="str">
        <f t="shared" si="46"/>
        <v>X</v>
      </c>
      <c r="G72" t="str">
        <f t="shared" si="46"/>
        <v/>
      </c>
      <c r="H72" t="str">
        <f t="shared" si="46"/>
        <v/>
      </c>
      <c r="I72" t="str">
        <f t="shared" si="46"/>
        <v>X</v>
      </c>
      <c r="J72" t="str">
        <f t="shared" si="46"/>
        <v/>
      </c>
      <c r="K72" t="str">
        <f t="shared" si="46"/>
        <v/>
      </c>
      <c r="L72" t="str">
        <f t="shared" si="46"/>
        <v/>
      </c>
      <c r="M72" t="str">
        <f t="shared" si="46"/>
        <v>X</v>
      </c>
      <c r="N72" t="str">
        <f t="shared" si="46"/>
        <v>X</v>
      </c>
      <c r="O72" t="str">
        <f t="shared" si="46"/>
        <v/>
      </c>
    </row>
    <row r="73" spans="1:15" x14ac:dyDescent="0.3">
      <c r="A73">
        <v>21</v>
      </c>
      <c r="B73" t="str">
        <f t="shared" si="45"/>
        <v>X</v>
      </c>
      <c r="C73" t="str">
        <f t="shared" si="46"/>
        <v/>
      </c>
      <c r="D73" t="str">
        <f t="shared" si="46"/>
        <v/>
      </c>
      <c r="E73" t="str">
        <f t="shared" si="46"/>
        <v/>
      </c>
      <c r="F73" t="str">
        <f t="shared" si="46"/>
        <v>X</v>
      </c>
      <c r="G73" t="str">
        <f t="shared" si="46"/>
        <v/>
      </c>
      <c r="H73" t="str">
        <f t="shared" si="46"/>
        <v>X</v>
      </c>
      <c r="I73" t="str">
        <f t="shared" si="46"/>
        <v>X</v>
      </c>
      <c r="J73" t="str">
        <f t="shared" si="46"/>
        <v>X</v>
      </c>
      <c r="K73" t="str">
        <f t="shared" si="46"/>
        <v/>
      </c>
      <c r="L73" t="str">
        <f t="shared" si="46"/>
        <v>X</v>
      </c>
      <c r="M73" t="str">
        <f t="shared" si="46"/>
        <v/>
      </c>
      <c r="N73" t="str">
        <f t="shared" si="46"/>
        <v>X</v>
      </c>
      <c r="O73" t="str">
        <f t="shared" si="46"/>
        <v/>
      </c>
    </row>
    <row r="74" spans="1:15" x14ac:dyDescent="0.3">
      <c r="A74">
        <v>22</v>
      </c>
      <c r="B74" t="str">
        <f t="shared" si="45"/>
        <v/>
      </c>
      <c r="C74" t="str">
        <f t="shared" si="46"/>
        <v/>
      </c>
      <c r="D74" t="str">
        <f t="shared" si="46"/>
        <v>X</v>
      </c>
      <c r="E74" t="str">
        <f t="shared" si="46"/>
        <v>X</v>
      </c>
      <c r="F74" t="str">
        <f t="shared" si="46"/>
        <v/>
      </c>
      <c r="G74" t="str">
        <f t="shared" si="46"/>
        <v>X</v>
      </c>
      <c r="H74" t="str">
        <f t="shared" si="46"/>
        <v/>
      </c>
      <c r="I74" t="str">
        <f t="shared" si="46"/>
        <v>X</v>
      </c>
      <c r="J74" t="str">
        <f t="shared" si="46"/>
        <v/>
      </c>
      <c r="K74" t="str">
        <f t="shared" si="46"/>
        <v>X</v>
      </c>
      <c r="L74" t="str">
        <f t="shared" si="46"/>
        <v/>
      </c>
      <c r="M74" t="str">
        <f t="shared" si="46"/>
        <v>X</v>
      </c>
      <c r="N74" t="str">
        <f t="shared" si="46"/>
        <v/>
      </c>
      <c r="O74" t="str">
        <f t="shared" si="46"/>
        <v>X</v>
      </c>
    </row>
    <row r="75" spans="1:15" x14ac:dyDescent="0.3">
      <c r="A75">
        <v>23</v>
      </c>
      <c r="B75" t="str">
        <f t="shared" si="45"/>
        <v>X</v>
      </c>
      <c r="C75" t="str">
        <f t="shared" si="46"/>
        <v/>
      </c>
      <c r="D75" t="str">
        <f t="shared" si="46"/>
        <v>X</v>
      </c>
      <c r="E75" t="str">
        <f t="shared" si="46"/>
        <v/>
      </c>
      <c r="F75" t="str">
        <f t="shared" si="46"/>
        <v>X</v>
      </c>
      <c r="G75" t="str">
        <f t="shared" si="46"/>
        <v/>
      </c>
      <c r="H75" t="str">
        <f t="shared" si="46"/>
        <v>X</v>
      </c>
      <c r="I75" t="str">
        <f t="shared" si="46"/>
        <v/>
      </c>
      <c r="J75" t="str">
        <f t="shared" si="46"/>
        <v/>
      </c>
      <c r="K75" t="str">
        <f t="shared" si="46"/>
        <v/>
      </c>
      <c r="L75" t="str">
        <f t="shared" si="46"/>
        <v>X</v>
      </c>
      <c r="M75" t="str">
        <f t="shared" si="46"/>
        <v/>
      </c>
      <c r="N75" t="str">
        <f t="shared" si="46"/>
        <v/>
      </c>
      <c r="O75" t="str">
        <f t="shared" si="46"/>
        <v>X</v>
      </c>
    </row>
    <row r="76" spans="1:15" x14ac:dyDescent="0.3">
      <c r="A76">
        <v>24</v>
      </c>
      <c r="B76" t="str">
        <f t="shared" si="45"/>
        <v>X</v>
      </c>
      <c r="C76" t="str">
        <f t="shared" si="46"/>
        <v>X</v>
      </c>
      <c r="D76" t="str">
        <f t="shared" si="46"/>
        <v/>
      </c>
      <c r="E76" t="str">
        <f t="shared" si="46"/>
        <v>X</v>
      </c>
      <c r="F76" t="str">
        <f t="shared" si="46"/>
        <v/>
      </c>
      <c r="G76" t="str">
        <f t="shared" si="46"/>
        <v>X</v>
      </c>
      <c r="H76" t="str">
        <f t="shared" si="46"/>
        <v/>
      </c>
      <c r="I76" t="str">
        <f t="shared" si="46"/>
        <v/>
      </c>
      <c r="J76" t="str">
        <f t="shared" si="46"/>
        <v>X</v>
      </c>
      <c r="K76" t="str">
        <f t="shared" si="46"/>
        <v>X</v>
      </c>
      <c r="L76" t="str">
        <f t="shared" si="46"/>
        <v/>
      </c>
      <c r="M76" t="str">
        <f t="shared" si="46"/>
        <v/>
      </c>
      <c r="N76" t="str">
        <f t="shared" si="46"/>
        <v/>
      </c>
      <c r="O76" t="str">
        <f t="shared" si="46"/>
        <v/>
      </c>
    </row>
    <row r="77" spans="1:15" x14ac:dyDescent="0.3">
      <c r="A77">
        <v>25</v>
      </c>
      <c r="B77" t="str">
        <f t="shared" si="45"/>
        <v/>
      </c>
      <c r="C77" t="str">
        <f t="shared" si="46"/>
        <v>X</v>
      </c>
      <c r="D77" t="str">
        <f t="shared" si="46"/>
        <v/>
      </c>
      <c r="E77" t="str">
        <f t="shared" si="46"/>
        <v/>
      </c>
      <c r="F77" t="str">
        <f t="shared" si="46"/>
        <v>X</v>
      </c>
      <c r="G77" t="str">
        <f t="shared" si="46"/>
        <v/>
      </c>
      <c r="H77" t="str">
        <f t="shared" si="46"/>
        <v>X</v>
      </c>
      <c r="I77" t="str">
        <f t="shared" si="46"/>
        <v/>
      </c>
      <c r="J77" t="str">
        <f t="shared" si="46"/>
        <v>X</v>
      </c>
      <c r="K77" t="str">
        <f t="shared" si="46"/>
        <v>X</v>
      </c>
      <c r="L77" t="str">
        <f t="shared" si="46"/>
        <v/>
      </c>
      <c r="M77" t="str">
        <f t="shared" si="46"/>
        <v/>
      </c>
      <c r="N77" t="str">
        <f t="shared" si="46"/>
        <v>X</v>
      </c>
      <c r="O77" t="str">
        <f t="shared" si="46"/>
        <v>X</v>
      </c>
    </row>
    <row r="78" spans="1:15" x14ac:dyDescent="0.3">
      <c r="A78">
        <v>26</v>
      </c>
      <c r="B78" t="str">
        <f t="shared" si="45"/>
        <v/>
      </c>
      <c r="C78" t="str">
        <f t="shared" si="46"/>
        <v/>
      </c>
      <c r="D78" t="str">
        <f t="shared" si="46"/>
        <v>X</v>
      </c>
      <c r="E78" t="str">
        <f t="shared" si="46"/>
        <v>X</v>
      </c>
      <c r="F78" t="str">
        <f t="shared" si="46"/>
        <v/>
      </c>
      <c r="G78" t="str">
        <f t="shared" si="46"/>
        <v>X</v>
      </c>
      <c r="H78" t="str">
        <f t="shared" si="46"/>
        <v>X</v>
      </c>
      <c r="I78" t="str">
        <f t="shared" si="46"/>
        <v>X</v>
      </c>
      <c r="J78" t="str">
        <f t="shared" si="46"/>
        <v/>
      </c>
      <c r="K78" t="str">
        <f t="shared" si="46"/>
        <v/>
      </c>
      <c r="L78" t="str">
        <f t="shared" si="46"/>
        <v>X</v>
      </c>
      <c r="M78" t="str">
        <f t="shared" si="46"/>
        <v>X</v>
      </c>
      <c r="N78" t="str">
        <f t="shared" si="46"/>
        <v>X</v>
      </c>
      <c r="O78" t="str">
        <f t="shared" si="46"/>
        <v/>
      </c>
    </row>
    <row r="79" spans="1:15" x14ac:dyDescent="0.3">
      <c r="A79">
        <v>27</v>
      </c>
      <c r="B79" t="str">
        <f t="shared" si="45"/>
        <v/>
      </c>
      <c r="C79" t="str">
        <f t="shared" si="46"/>
        <v>X</v>
      </c>
      <c r="D79" t="str">
        <f t="shared" si="46"/>
        <v/>
      </c>
      <c r="E79" t="str">
        <f t="shared" si="46"/>
        <v>X</v>
      </c>
      <c r="F79" t="str">
        <f t="shared" si="46"/>
        <v/>
      </c>
      <c r="G79" t="str">
        <f t="shared" si="46"/>
        <v/>
      </c>
      <c r="H79" t="str">
        <f t="shared" si="46"/>
        <v/>
      </c>
      <c r="I79" t="str">
        <f t="shared" si="46"/>
        <v>X</v>
      </c>
      <c r="J79" t="str">
        <f t="shared" si="46"/>
        <v/>
      </c>
      <c r="K79" t="str">
        <f t="shared" si="46"/>
        <v>X</v>
      </c>
      <c r="L79" t="str">
        <f t="shared" si="46"/>
        <v>X</v>
      </c>
      <c r="M79" t="str">
        <f t="shared" si="46"/>
        <v/>
      </c>
      <c r="N79" t="str">
        <f t="shared" si="46"/>
        <v/>
      </c>
      <c r="O79" t="str">
        <f t="shared" si="46"/>
        <v>X</v>
      </c>
    </row>
    <row r="80" spans="1:15" x14ac:dyDescent="0.3">
      <c r="A80">
        <v>28</v>
      </c>
      <c r="B80" t="str">
        <f t="shared" si="45"/>
        <v>X</v>
      </c>
      <c r="C80" t="str">
        <f t="shared" si="46"/>
        <v>X</v>
      </c>
      <c r="D80" t="str">
        <f t="shared" si="46"/>
        <v>X</v>
      </c>
      <c r="E80" t="str">
        <f t="shared" si="46"/>
        <v/>
      </c>
      <c r="F80" t="str">
        <f t="shared" si="46"/>
        <v>X</v>
      </c>
      <c r="G80" t="str">
        <f t="shared" si="46"/>
        <v/>
      </c>
      <c r="H80" t="str">
        <f t="shared" si="46"/>
        <v/>
      </c>
      <c r="I80" t="str">
        <f t="shared" si="46"/>
        <v/>
      </c>
      <c r="J80" t="str">
        <f t="shared" si="46"/>
        <v/>
      </c>
      <c r="K80" t="str">
        <f t="shared" si="46"/>
        <v/>
      </c>
      <c r="L80" t="str">
        <f t="shared" si="46"/>
        <v/>
      </c>
      <c r="M80" t="str">
        <f t="shared" si="46"/>
        <v>X</v>
      </c>
      <c r="N80" t="str">
        <f t="shared" si="46"/>
        <v>X</v>
      </c>
      <c r="O80" t="str">
        <f t="shared" si="46"/>
        <v/>
      </c>
    </row>
    <row r="81" spans="1:18" x14ac:dyDescent="0.3">
      <c r="A81">
        <v>29</v>
      </c>
      <c r="B81" t="str">
        <f t="shared" si="45"/>
        <v/>
      </c>
      <c r="C81" t="str">
        <f t="shared" si="46"/>
        <v/>
      </c>
      <c r="D81" t="str">
        <f t="shared" si="46"/>
        <v>X</v>
      </c>
      <c r="E81" t="str">
        <f t="shared" si="46"/>
        <v/>
      </c>
      <c r="F81" t="str">
        <f t="shared" si="46"/>
        <v>X</v>
      </c>
      <c r="G81" t="str">
        <f t="shared" si="46"/>
        <v>X</v>
      </c>
      <c r="H81" t="str">
        <f t="shared" si="46"/>
        <v/>
      </c>
      <c r="I81" t="str">
        <f t="shared" si="46"/>
        <v>X</v>
      </c>
      <c r="J81" t="str">
        <f t="shared" si="46"/>
        <v>X</v>
      </c>
      <c r="K81" t="str">
        <f t="shared" si="46"/>
        <v/>
      </c>
      <c r="L81" t="str">
        <f t="shared" si="46"/>
        <v>X</v>
      </c>
      <c r="M81" t="str">
        <f t="shared" si="46"/>
        <v>X</v>
      </c>
      <c r="N81" t="str">
        <f t="shared" si="46"/>
        <v/>
      </c>
      <c r="O81" t="str">
        <f t="shared" si="46"/>
        <v/>
      </c>
    </row>
    <row r="82" spans="1:18" x14ac:dyDescent="0.3">
      <c r="A82">
        <v>30</v>
      </c>
      <c r="B82" t="str">
        <f t="shared" si="45"/>
        <v>X</v>
      </c>
      <c r="C82" t="str">
        <f t="shared" si="46"/>
        <v>X</v>
      </c>
      <c r="D82" t="str">
        <f t="shared" si="46"/>
        <v/>
      </c>
      <c r="E82" t="str">
        <f t="shared" si="46"/>
        <v/>
      </c>
      <c r="F82" t="str">
        <f t="shared" si="46"/>
        <v/>
      </c>
      <c r="G82" t="str">
        <f t="shared" si="46"/>
        <v>X</v>
      </c>
      <c r="H82" t="str">
        <f t="shared" si="46"/>
        <v>X</v>
      </c>
      <c r="I82" t="str">
        <f t="shared" si="46"/>
        <v/>
      </c>
      <c r="J82" t="str">
        <f t="shared" si="46"/>
        <v>X</v>
      </c>
      <c r="K82" t="str">
        <f t="shared" si="46"/>
        <v>X</v>
      </c>
      <c r="L82" t="str">
        <f t="shared" si="46"/>
        <v/>
      </c>
      <c r="M82" t="str">
        <f t="shared" si="46"/>
        <v/>
      </c>
      <c r="N82" t="str">
        <f t="shared" si="46"/>
        <v/>
      </c>
      <c r="O82" t="str">
        <f t="shared" si="46"/>
        <v>X</v>
      </c>
    </row>
    <row r="83" spans="1:18" x14ac:dyDescent="0.3">
      <c r="A83">
        <v>31</v>
      </c>
      <c r="B83" t="str">
        <f t="shared" si="45"/>
        <v/>
      </c>
      <c r="C83" t="str">
        <f t="shared" si="46"/>
        <v/>
      </c>
      <c r="D83" t="str">
        <f t="shared" si="46"/>
        <v/>
      </c>
      <c r="E83" t="str">
        <f t="shared" si="46"/>
        <v/>
      </c>
      <c r="F83" t="str">
        <f t="shared" si="46"/>
        <v>X</v>
      </c>
      <c r="G83" t="str">
        <f t="shared" si="46"/>
        <v>X</v>
      </c>
      <c r="H83" t="str">
        <f t="shared" si="46"/>
        <v>X</v>
      </c>
      <c r="I83" t="str">
        <f t="shared" si="46"/>
        <v>X</v>
      </c>
      <c r="J83" t="str">
        <f t="shared" si="46"/>
        <v>X</v>
      </c>
      <c r="K83" t="str">
        <f t="shared" si="46"/>
        <v>X</v>
      </c>
      <c r="L83" t="str">
        <f t="shared" si="46"/>
        <v/>
      </c>
      <c r="M83" t="str">
        <f t="shared" si="46"/>
        <v>X</v>
      </c>
      <c r="N83" t="str">
        <f t="shared" si="46"/>
        <v>X</v>
      </c>
      <c r="O83" t="str">
        <f t="shared" si="46"/>
        <v/>
      </c>
    </row>
    <row r="84" spans="1:18" x14ac:dyDescent="0.3">
      <c r="A84">
        <v>32</v>
      </c>
      <c r="B84" t="str">
        <f t="shared" si="45"/>
        <v>X</v>
      </c>
      <c r="C84" t="str">
        <f t="shared" si="46"/>
        <v>X</v>
      </c>
      <c r="D84" t="str">
        <f t="shared" si="46"/>
        <v>X</v>
      </c>
      <c r="E84" t="str">
        <f t="shared" si="46"/>
        <v/>
      </c>
      <c r="F84" t="str">
        <f t="shared" si="46"/>
        <v/>
      </c>
      <c r="G84" t="str">
        <f t="shared" si="46"/>
        <v/>
      </c>
      <c r="H84" t="str">
        <f t="shared" si="46"/>
        <v/>
      </c>
      <c r="I84" t="str">
        <f t="shared" si="46"/>
        <v/>
      </c>
      <c r="J84" t="str">
        <f t="shared" si="46"/>
        <v/>
      </c>
      <c r="K84" t="str">
        <f t="shared" si="46"/>
        <v/>
      </c>
      <c r="L84" t="str">
        <f t="shared" si="46"/>
        <v>X</v>
      </c>
      <c r="M84" t="str">
        <f t="shared" si="46"/>
        <v/>
      </c>
      <c r="N84" t="str">
        <f t="shared" si="46"/>
        <v>X</v>
      </c>
      <c r="O84" t="str">
        <f t="shared" si="46"/>
        <v>X</v>
      </c>
    </row>
    <row r="85" spans="1:18" x14ac:dyDescent="0.3">
      <c r="B85">
        <f>COUNTIF(B53:B84,"X")</f>
        <v>16</v>
      </c>
      <c r="C85">
        <f t="shared" ref="C85:O85" si="47">COUNTIF(C53:C84,"X")</f>
        <v>17</v>
      </c>
      <c r="D85">
        <f t="shared" si="47"/>
        <v>16</v>
      </c>
      <c r="E85">
        <f t="shared" si="47"/>
        <v>14</v>
      </c>
      <c r="F85">
        <f t="shared" si="47"/>
        <v>16</v>
      </c>
      <c r="G85">
        <f t="shared" si="47"/>
        <v>16</v>
      </c>
      <c r="H85">
        <f t="shared" si="47"/>
        <v>16</v>
      </c>
      <c r="I85">
        <f t="shared" si="47"/>
        <v>16</v>
      </c>
      <c r="J85">
        <f t="shared" si="47"/>
        <v>16</v>
      </c>
      <c r="K85">
        <f t="shared" si="47"/>
        <v>16</v>
      </c>
      <c r="L85">
        <f t="shared" si="47"/>
        <v>16</v>
      </c>
      <c r="M85">
        <f t="shared" si="47"/>
        <v>16</v>
      </c>
      <c r="N85">
        <f t="shared" si="47"/>
        <v>16</v>
      </c>
      <c r="O85">
        <f t="shared" si="47"/>
        <v>16</v>
      </c>
    </row>
    <row r="86" spans="1:18" x14ac:dyDescent="0.3">
      <c r="B86" t="s">
        <v>84</v>
      </c>
      <c r="C86" s="3">
        <v>2</v>
      </c>
      <c r="D86" s="3">
        <v>3</v>
      </c>
      <c r="E86" s="3">
        <v>4</v>
      </c>
      <c r="F86" s="3">
        <v>5</v>
      </c>
      <c r="G86" s="3">
        <v>6</v>
      </c>
      <c r="H86" s="3">
        <v>7</v>
      </c>
      <c r="I86" s="3">
        <v>8</v>
      </c>
      <c r="J86" s="3">
        <v>9</v>
      </c>
      <c r="K86" s="3">
        <v>10</v>
      </c>
      <c r="L86" s="3">
        <v>11</v>
      </c>
      <c r="M86" s="3">
        <v>12</v>
      </c>
      <c r="N86" s="3">
        <v>13</v>
      </c>
      <c r="O86" s="3">
        <v>14</v>
      </c>
      <c r="Q86">
        <v>0</v>
      </c>
      <c r="R86">
        <f>COUNTIFS(C$87:O$99,Q86)</f>
        <v>0</v>
      </c>
    </row>
    <row r="87" spans="1:18" x14ac:dyDescent="0.3">
      <c r="B87" s="3" t="s">
        <v>85</v>
      </c>
      <c r="C87" s="2" cm="1">
        <f t="array" ref="C87">SUMPRODUCT(($B53:$B84=C53:C84)*($B53:$B84&lt;&gt;""))</f>
        <v>8</v>
      </c>
      <c r="D87" s="2" cm="1">
        <f t="array" ref="D87">SUMPRODUCT((B$53:B$84=D$53:D$84)*(B$53:B$84&lt;&gt;""))</f>
        <v>7</v>
      </c>
      <c r="E87" s="2" cm="1">
        <f t="array" ref="E87">SUMPRODUCT(($B53:$B84=E53:E84)*($B53:$B84&lt;&gt;""))</f>
        <v>6</v>
      </c>
      <c r="F87" s="2" cm="1">
        <f t="array" ref="F87">SUMPRODUCT(($B53:$B84=F53:F84)*($B53:$B84&lt;&gt;""))</f>
        <v>9</v>
      </c>
      <c r="G87" s="2" cm="1">
        <f t="array" ref="G87">SUMPRODUCT(($B53:$B84=G53:G84)*($B53:$B84&lt;&gt;""))</f>
        <v>7</v>
      </c>
      <c r="H87" s="2" cm="1">
        <f t="array" ref="H87">SUMPRODUCT(($B53:$B84=H53:H84)*($B53:$B84&lt;&gt;""))</f>
        <v>9</v>
      </c>
      <c r="I87" s="2" cm="1">
        <f t="array" ref="I87">SUMPRODUCT(($B53:$B84=I53:I84)*($B53:$B84&lt;&gt;""))</f>
        <v>7</v>
      </c>
      <c r="J87" s="2" cm="1">
        <f t="array" ref="J87">SUMPRODUCT(($B53:$B84=J53:J84)*($B53:$B84&lt;&gt;""))</f>
        <v>11</v>
      </c>
      <c r="K87" s="2" cm="1">
        <f t="array" ref="K87">SUMPRODUCT(($B53:$B84=K53:K84)*($B53:$B84&lt;&gt;""))</f>
        <v>6</v>
      </c>
      <c r="L87" s="2" cm="1">
        <f t="array" ref="L87">SUMPRODUCT(($B53:$B84=L53:L84)*($B53:$B84&lt;&gt;""))</f>
        <v>7</v>
      </c>
      <c r="M87" s="2" cm="1">
        <f t="array" ref="M87">SUMPRODUCT(($B53:$B84=M53:M84)*($B53:$B84&lt;&gt;""))</f>
        <v>6</v>
      </c>
      <c r="N87" s="2" cm="1">
        <f t="array" ref="N87">SUMPRODUCT(($B53:$B84=N53:N84)*($B53:$B84&lt;&gt;""))</f>
        <v>6</v>
      </c>
      <c r="O87" s="2" cm="1">
        <f t="array" ref="O87">SUMPRODUCT(($B53:$B84=O53:O84)*($B53:$B84&lt;&gt;""))</f>
        <v>8</v>
      </c>
      <c r="Q87">
        <v>1</v>
      </c>
      <c r="R87">
        <f t="shared" ref="R87:R106" si="48">COUNTIFS(C$87:O$99,Q87)</f>
        <v>0</v>
      </c>
    </row>
    <row r="88" spans="1:18" x14ac:dyDescent="0.3">
      <c r="B88" s="3" t="s">
        <v>86</v>
      </c>
      <c r="D88" s="2" cm="1">
        <f t="array" ref="D88">SUMPRODUCT(($C$53:$C$84=D$53:D$84)*($C$53:$C$84&lt;&gt;""))</f>
        <v>8</v>
      </c>
      <c r="E88" s="2" cm="1">
        <f t="array" ref="E88">SUMPRODUCT(($C$53:$C$84=E$53:E$84)*($C$53:$C$84&lt;&gt;""))</f>
        <v>7</v>
      </c>
      <c r="F88" s="2" cm="1">
        <f t="array" ref="F88">SUMPRODUCT(($C$53:$C$84=F$53:F$84)*($C$53:$C$84&lt;&gt;""))</f>
        <v>7</v>
      </c>
      <c r="G88" s="2" cm="1">
        <f t="array" ref="G88">SUMPRODUCT(($C$53:$C$84=G$53:G$84)*($C$53:$C$84&lt;&gt;""))</f>
        <v>5</v>
      </c>
      <c r="H88" s="2" cm="1">
        <f t="array" ref="H88">SUMPRODUCT(($C$53:$C$84=H$53:H$84)*($C$53:$C$84&lt;&gt;""))</f>
        <v>6</v>
      </c>
      <c r="I88" s="2" cm="1">
        <f t="array" ref="I88">SUMPRODUCT(($C$53:$C$84=I$53:I$84)*($C$53:$C$84&lt;&gt;""))</f>
        <v>8</v>
      </c>
      <c r="J88" s="2" cm="1">
        <f t="array" ref="J88">SUMPRODUCT(($C$53:$C$84=J$53:J$84)*($C$53:$C$84&lt;&gt;""))</f>
        <v>5</v>
      </c>
      <c r="K88" s="2" cm="1">
        <f t="array" ref="K88">SUMPRODUCT(($C$53:$C$84=K$53:K$84)*($C$53:$C$84&lt;&gt;""))</f>
        <v>10</v>
      </c>
      <c r="L88" s="2" cm="1">
        <f t="array" ref="L88">SUMPRODUCT(($C$53:$C$84=L$53:L$84)*($C$53:$C$84&lt;&gt;""))</f>
        <v>8</v>
      </c>
      <c r="M88" s="2" cm="1">
        <f t="array" ref="M88">SUMPRODUCT(($C$53:$C$84=M$53:M$84)*($C$53:$C$84&lt;&gt;""))</f>
        <v>6</v>
      </c>
      <c r="N88" s="2" cm="1">
        <f t="array" ref="N88">SUMPRODUCT(($C$53:$C$84=N$53:N$84)*($C$53:$C$84&lt;&gt;""))</f>
        <v>11</v>
      </c>
      <c r="O88" s="2" cm="1">
        <f t="array" ref="O88">SUMPRODUCT(($C$53:$C$84=O$53:O$84)*($C$53:$C$84&lt;&gt;""))</f>
        <v>10</v>
      </c>
      <c r="Q88">
        <v>2</v>
      </c>
      <c r="R88">
        <f t="shared" si="48"/>
        <v>0</v>
      </c>
    </row>
    <row r="89" spans="1:18" x14ac:dyDescent="0.3">
      <c r="B89" s="3" t="s">
        <v>87</v>
      </c>
      <c r="E89" s="2" cm="1">
        <f t="array" ref="E89">SUMPRODUCT(($D$53:$D$84=E$53:E$84)*($D$53:$D$84&lt;&gt;""))</f>
        <v>5</v>
      </c>
      <c r="F89" s="2" cm="1">
        <f t="array" ref="F89">SUMPRODUCT(($D$53:$D$84=F$53:F$84)*($D$53:$D$84&lt;&gt;""))</f>
        <v>6</v>
      </c>
      <c r="G89" s="2" cm="1">
        <f t="array" ref="G89">SUMPRODUCT(($D$53:$D$84=G$53:G$84)*($D$53:$D$84&lt;&gt;""))</f>
        <v>7</v>
      </c>
      <c r="H89" s="2" cm="1">
        <f t="array" ref="H89">SUMPRODUCT(($D$53:$D$84=H$53:H$84)*($D$53:$D$84&lt;&gt;""))</f>
        <v>8</v>
      </c>
      <c r="I89" s="2" cm="1">
        <f t="array" ref="I89">SUMPRODUCT(($D$53:$D$84=I$53:I$84)*($D$53:$D$84&lt;&gt;""))</f>
        <v>8</v>
      </c>
      <c r="J89" s="2" cm="1">
        <f t="array" ref="J89">SUMPRODUCT(($D$53:$D$84=J$53:J$84)*($D$53:$D$84&lt;&gt;""))</f>
        <v>5</v>
      </c>
      <c r="K89" s="2" cm="1">
        <f t="array" ref="K89">SUMPRODUCT(($D$53:$D$84=K$53:K$84)*($D$53:$D$84&lt;&gt;""))</f>
        <v>5</v>
      </c>
      <c r="L89" s="2" cm="1">
        <f t="array" ref="L89">SUMPRODUCT(($D$53:$D$84=L$53:L$84)*($D$53:$D$84&lt;&gt;""))</f>
        <v>8</v>
      </c>
      <c r="M89" s="2" cm="1">
        <f t="array" ref="M89">SUMPRODUCT(($D$53:$D$84=M$53:M$84)*($D$53:$D$84&lt;&gt;""))</f>
        <v>10</v>
      </c>
      <c r="N89" s="2" cm="1">
        <f t="array" ref="N89">SUMPRODUCT(($D$53:$D$84=N$53:N$84)*($D$53:$D$84&lt;&gt;""))</f>
        <v>7</v>
      </c>
      <c r="O89" s="2" cm="1">
        <f t="array" ref="O89">SUMPRODUCT(($D$53:$D$84=O$53:O$84)*($D$53:$D$84&lt;&gt;""))</f>
        <v>9</v>
      </c>
      <c r="Q89">
        <v>3</v>
      </c>
      <c r="R89">
        <f t="shared" si="48"/>
        <v>0</v>
      </c>
    </row>
    <row r="90" spans="1:18" x14ac:dyDescent="0.3">
      <c r="B90" s="3" t="s">
        <v>88</v>
      </c>
      <c r="F90" s="2" cm="1">
        <f t="array" ref="F90">SUMPRODUCT(($E$53:$E$84=F$53:F$84)*($E$53:$E$84&lt;&gt;""))</f>
        <v>5</v>
      </c>
      <c r="G90" s="2" cm="1">
        <f t="array" ref="G90">SUMPRODUCT(($E$53:$E$84=G$53:G$84)*($E$53:$E$84&lt;&gt;""))</f>
        <v>9</v>
      </c>
      <c r="H90" s="2" cm="1">
        <f t="array" ref="H90">SUMPRODUCT(($E$53:$E$84=H$53:H$84)*($E$53:$E$84&lt;&gt;""))</f>
        <v>6</v>
      </c>
      <c r="I90" s="2" cm="1">
        <f t="array" ref="I90">SUMPRODUCT(($E$53:$E$84=I$53:I$84)*($E$53:$E$84&lt;&gt;""))</f>
        <v>10</v>
      </c>
      <c r="J90" s="2" cm="1">
        <f t="array" ref="J90">SUMPRODUCT(($E$53:$E$84=J$53:J$84)*($E$53:$E$84&lt;&gt;""))</f>
        <v>6</v>
      </c>
      <c r="K90" s="2" cm="1">
        <f t="array" ref="K90">SUMPRODUCT(($E$53:$E$84=K$53:K$84)*($E$53:$E$84&lt;&gt;""))</f>
        <v>7</v>
      </c>
      <c r="L90" s="2" cm="1">
        <f t="array" ref="L90">SUMPRODUCT(($E$53:$E$84=L$53:L$84)*($E$53:$E$84&lt;&gt;""))</f>
        <v>5</v>
      </c>
      <c r="M90" s="2" cm="1">
        <f t="array" ref="M90">SUMPRODUCT(($E$53:$E$84=M$53:M$84)*($E$53:$E$84&lt;&gt;""))</f>
        <v>7</v>
      </c>
      <c r="N90" s="2" cm="1">
        <f t="array" ref="N90">SUMPRODUCT(($E$53:$E$84=N$53:N$84)*($E$53:$E$84&lt;&gt;""))</f>
        <v>7</v>
      </c>
      <c r="O90" s="2" cm="1">
        <f t="array" ref="O90">SUMPRODUCT(($E$53:$E$84=O$53:O$84)*($E$53:$E$84&lt;&gt;""))</f>
        <v>6</v>
      </c>
      <c r="Q90">
        <v>4</v>
      </c>
      <c r="R90">
        <f t="shared" si="48"/>
        <v>0</v>
      </c>
    </row>
    <row r="91" spans="1:18" x14ac:dyDescent="0.3">
      <c r="B91" s="3" t="s">
        <v>89</v>
      </c>
      <c r="G91" s="2" cm="1">
        <f t="array" ref="G91">SUMPRODUCT(($F$53:$F$84=G$53:G$84)*($F$53:$F$84&lt;&gt;""))</f>
        <v>5</v>
      </c>
      <c r="H91" s="2" cm="1">
        <f t="array" ref="H91">SUMPRODUCT(($F$53:$F$84=H$53:H$84)*($F$53:$F$84&lt;&gt;""))</f>
        <v>7</v>
      </c>
      <c r="I91" s="2" cm="1">
        <f t="array" ref="I91">SUMPRODUCT(($F$53:$F$84=I$53:I$84)*($F$53:$F$84&lt;&gt;""))</f>
        <v>8</v>
      </c>
      <c r="J91" s="2" cm="1">
        <f t="array" ref="J91">SUMPRODUCT(($F$53:$F$84=J$53:J$84)*($F$53:$F$84&lt;&gt;""))</f>
        <v>10</v>
      </c>
      <c r="K91" s="2" cm="1">
        <f t="array" ref="K91">SUMPRODUCT(($F$53:$F$84=K$53:K$84)*($F$53:$F$84&lt;&gt;""))</f>
        <v>6</v>
      </c>
      <c r="L91" s="2" cm="1">
        <f t="array" ref="L91">SUMPRODUCT(($F$53:$F$84=L$53:L$84)*($F$53:$F$84&lt;&gt;""))</f>
        <v>9</v>
      </c>
      <c r="M91" s="2" cm="1">
        <f t="array" ref="M91">SUMPRODUCT(($F$53:$F$84=M$53:M$84)*($F$53:$F$84&lt;&gt;""))</f>
        <v>9</v>
      </c>
      <c r="N91" s="2" cm="1">
        <f t="array" ref="N91">SUMPRODUCT(($F$53:$F$84=N$53:N$84)*($F$53:$F$84&lt;&gt;""))</f>
        <v>8</v>
      </c>
      <c r="O91" s="2" cm="1">
        <f t="array" ref="O91">SUMPRODUCT(($F$53:$F$84=O$53:O$84)*($F$53:$F$84&lt;&gt;""))</f>
        <v>6</v>
      </c>
      <c r="Q91">
        <v>5</v>
      </c>
      <c r="R91">
        <f t="shared" si="48"/>
        <v>8</v>
      </c>
    </row>
    <row r="92" spans="1:18" x14ac:dyDescent="0.3">
      <c r="B92" s="3" t="s">
        <v>90</v>
      </c>
      <c r="H92" s="2" cm="1">
        <f t="array" ref="H92">SUMPRODUCT(($G$53:$G$84=H$53:H$84)*($G$53:$G$84&lt;&gt;""))</f>
        <v>10</v>
      </c>
      <c r="I92" s="2" cm="1">
        <f t="array" ref="I92">SUMPRODUCT(($G$53:$G$84=I$53:I$84)*($G$53:$G$84&lt;&gt;""))</f>
        <v>8</v>
      </c>
      <c r="J92" s="2" cm="1">
        <f t="array" ref="J92">SUMPRODUCT(($G$53:$G$84=J$53:J$84)*($G$53:$G$84&lt;&gt;""))</f>
        <v>10</v>
      </c>
      <c r="K92" s="2" cm="1">
        <f t="array" ref="K92">SUMPRODUCT(($G$53:$G$84=K$53:K$84)*($G$53:$G$84&lt;&gt;""))</f>
        <v>10</v>
      </c>
      <c r="L92" s="2" cm="1">
        <f t="array" ref="L92">SUMPRODUCT(($G$53:$G$84=L$53:L$84)*($G$53:$G$84&lt;&gt;""))</f>
        <v>8</v>
      </c>
      <c r="M92" s="2" cm="1">
        <f t="array" ref="M92">SUMPRODUCT(($G$53:$G$84=M$53:M$84)*($G$53:$G$84&lt;&gt;""))</f>
        <v>9</v>
      </c>
      <c r="N92" s="2" cm="1">
        <f t="array" ref="N92">SUMPRODUCT(($G$53:$G$84=N$53:N$84)*($G$53:$G$84&lt;&gt;""))</f>
        <v>6</v>
      </c>
      <c r="O92" s="2" cm="1">
        <f t="array" ref="O92">SUMPRODUCT(($G$53:$G$84=O$53:O$84)*($G$53:$G$84&lt;&gt;""))</f>
        <v>7</v>
      </c>
      <c r="Q92">
        <v>6</v>
      </c>
      <c r="R92">
        <f t="shared" si="48"/>
        <v>19</v>
      </c>
    </row>
    <row r="93" spans="1:18" x14ac:dyDescent="0.3">
      <c r="B93" s="3" t="s">
        <v>91</v>
      </c>
      <c r="I93" s="2" cm="1">
        <f t="array" ref="I93">SUMPRODUCT(($H$53:$H$84=I$53:I$84)*($H$53:$H$84&lt;&gt;""))</f>
        <v>7</v>
      </c>
      <c r="J93" s="2" cm="1">
        <f t="array" ref="J93">SUMPRODUCT(($H$53:$H$84=J$53:J$84)*($H$53:$H$84&lt;&gt;""))</f>
        <v>9</v>
      </c>
      <c r="K93" s="2" cm="1">
        <f t="array" ref="K93">SUMPRODUCT(($H$53:$H$84=K$53:K$84)*($H$53:$H$84&lt;&gt;""))</f>
        <v>9</v>
      </c>
      <c r="L93" s="2" cm="1">
        <f t="array" ref="L93">SUMPRODUCT(($H$53:$H$84=L$53:L$84)*($H$53:$H$84&lt;&gt;""))</f>
        <v>6</v>
      </c>
      <c r="M93" s="2" cm="1">
        <f t="array" ref="M93">SUMPRODUCT(($H$53:$H$84=M$53:M$84)*($H$53:$H$84&lt;&gt;""))</f>
        <v>8</v>
      </c>
      <c r="N93" s="2" cm="1">
        <f t="array" ref="N93">SUMPRODUCT(($H$53:$H$84=N$53:N$84)*($H$53:$H$84&lt;&gt;""))</f>
        <v>8</v>
      </c>
      <c r="O93" s="2" cm="1">
        <f t="array" ref="O93">SUMPRODUCT(($H$53:$H$84=O$53:O$84)*($H$53:$H$84&lt;&gt;""))</f>
        <v>8</v>
      </c>
      <c r="Q93">
        <v>7</v>
      </c>
      <c r="R93">
        <f t="shared" si="48"/>
        <v>24</v>
      </c>
    </row>
    <row r="94" spans="1:18" x14ac:dyDescent="0.3">
      <c r="B94" s="3" t="s">
        <v>92</v>
      </c>
      <c r="J94" s="2" cm="1">
        <f t="array" ref="J94">SUMPRODUCT(($I$53:$I$84=J$53:J$84)*($I$53:$I$84&lt;&gt;""))</f>
        <v>7</v>
      </c>
      <c r="K94" s="2" cm="1">
        <f t="array" ref="K94">SUMPRODUCT(($I$53:$I$84=K$53:K$84)*($I$53:$I$84&lt;&gt;""))</f>
        <v>7</v>
      </c>
      <c r="L94" s="2" cm="1">
        <f t="array" ref="L94">SUMPRODUCT(($I$53:$I$84=L$53:L$84)*($I$53:$I$84&lt;&gt;""))</f>
        <v>9</v>
      </c>
      <c r="M94" s="2" cm="1">
        <f t="array" ref="M94">SUMPRODUCT(($I$53:$I$84=M$53:M$84)*($I$53:$I$84&lt;&gt;""))</f>
        <v>7</v>
      </c>
      <c r="N94" s="2" cm="1">
        <f t="array" ref="N94">SUMPRODUCT(($I$53:$I$84=N$53:N$84)*($I$53:$I$84&lt;&gt;""))</f>
        <v>9</v>
      </c>
      <c r="O94" s="2" cm="1">
        <f t="array" ref="O94">SUMPRODUCT(($I$53:$I$84=O$53:O$84)*($I$53:$I$84&lt;&gt;""))</f>
        <v>6</v>
      </c>
      <c r="Q94">
        <v>8</v>
      </c>
      <c r="R94">
        <f t="shared" si="48"/>
        <v>18</v>
      </c>
    </row>
    <row r="95" spans="1:18" x14ac:dyDescent="0.3">
      <c r="B95" s="3" t="s">
        <v>93</v>
      </c>
      <c r="K95" s="2" cm="1">
        <f t="array" ref="K95">SUMPRODUCT(($J$53:$J$84=K$53:K$84)*($J$53:$J$84&lt;&gt;""))</f>
        <v>7</v>
      </c>
      <c r="L95" s="2" cm="1">
        <f t="array" ref="L95">SUMPRODUCT(($J$53:$J$84=L$53:L$84)*($J$53:$J$84&lt;&gt;""))</f>
        <v>7</v>
      </c>
      <c r="M95" s="2" cm="1">
        <f t="array" ref="M95">SUMPRODUCT(($J$53:$J$84=M$53:M$84)*($J$53:$J$84&lt;&gt;""))</f>
        <v>8</v>
      </c>
      <c r="N95" s="2" cm="1">
        <f t="array" ref="N95">SUMPRODUCT(($J$53:$J$84=N$53:N$84)*($J$53:$J$84&lt;&gt;""))</f>
        <v>6</v>
      </c>
      <c r="O95" s="2" cm="1">
        <f t="array" ref="O95">SUMPRODUCT(($J$53:$J$84=O$53:O$84)*($J$53:$J$84&lt;&gt;""))</f>
        <v>7</v>
      </c>
      <c r="Q95">
        <v>9</v>
      </c>
      <c r="R95">
        <f t="shared" si="48"/>
        <v>12</v>
      </c>
    </row>
    <row r="96" spans="1:18" x14ac:dyDescent="0.3">
      <c r="B96" s="3" t="s">
        <v>94</v>
      </c>
      <c r="L96" s="2" cm="1">
        <f t="array" ref="L96">SUMPRODUCT(($K$53:$K$84=L$53:L$84)*($K$53:$K$84&lt;&gt;""))</f>
        <v>7</v>
      </c>
      <c r="M96" s="2" cm="1">
        <f t="array" ref="M96">SUMPRODUCT(($K$53:$K$84=M$53:M$84)*($K$53:$K$84&lt;&gt;""))</f>
        <v>6</v>
      </c>
      <c r="N96" s="2" cm="1">
        <f t="array" ref="N96">SUMPRODUCT(($K$53:$K$84=N$53:N$84)*($K$53:$K$84&lt;&gt;""))</f>
        <v>7</v>
      </c>
      <c r="O96" s="2" cm="1">
        <f t="array" ref="O96">SUMPRODUCT(($K$53:$K$84=O$53:O$84)*($K$53:$K$84&lt;&gt;""))</f>
        <v>8</v>
      </c>
      <c r="Q96">
        <v>10</v>
      </c>
      <c r="R96">
        <f t="shared" si="48"/>
        <v>8</v>
      </c>
    </row>
    <row r="97" spans="2:18" x14ac:dyDescent="0.3">
      <c r="B97" s="3" t="s">
        <v>95</v>
      </c>
      <c r="M97" s="2" cm="1">
        <f t="array" ref="M97">SUMPRODUCT(($L$53:$L$84=M$53:M$84)*($L$53:$L$84&lt;&gt;""))</f>
        <v>6</v>
      </c>
      <c r="N97" s="2" cm="1">
        <f t="array" ref="N97">SUMPRODUCT(($L$53:$L$84=N$53:N$84)*($L$53:$L$84&lt;&gt;""))</f>
        <v>8</v>
      </c>
      <c r="O97" s="2" cm="1">
        <f t="array" ref="O97">SUMPRODUCT(($L$53:$L$84=O$53:O$84)*($L$53:$L$84&lt;&gt;""))</f>
        <v>7</v>
      </c>
      <c r="Q97">
        <v>11</v>
      </c>
      <c r="R97">
        <f t="shared" si="48"/>
        <v>2</v>
      </c>
    </row>
    <row r="98" spans="2:18" x14ac:dyDescent="0.3">
      <c r="B98" s="3" t="s">
        <v>96</v>
      </c>
      <c r="N98" s="2" cm="1">
        <f t="array" ref="N98">SUMPRODUCT(($M$53:$M$84=N$53:N$84)*($M$53:$M$84&lt;&gt;""))</f>
        <v>9</v>
      </c>
      <c r="O98" s="2" cm="1">
        <f t="array" ref="O98">SUMPRODUCT(($M$53:$M$84=O$53:O$84)*($M$53:$M$84&lt;&gt;""))</f>
        <v>6</v>
      </c>
      <c r="Q98">
        <v>12</v>
      </c>
      <c r="R98">
        <f t="shared" si="48"/>
        <v>0</v>
      </c>
    </row>
    <row r="99" spans="2:18" x14ac:dyDescent="0.3">
      <c r="B99" s="3" t="s">
        <v>97</v>
      </c>
      <c r="O99" s="2" cm="1">
        <f t="array" ref="O99">SUMPRODUCT(($N$53:$N$84=O$53:O$84)*($N$53:$N$84&lt;&gt;""))</f>
        <v>7</v>
      </c>
      <c r="Q99">
        <v>13</v>
      </c>
      <c r="R99">
        <f t="shared" si="48"/>
        <v>0</v>
      </c>
    </row>
    <row r="100" spans="2:18" x14ac:dyDescent="0.3">
      <c r="Q100">
        <v>14</v>
      </c>
      <c r="R100">
        <f t="shared" si="48"/>
        <v>0</v>
      </c>
    </row>
    <row r="101" spans="2:18" x14ac:dyDescent="0.3">
      <c r="Q101">
        <v>15</v>
      </c>
      <c r="R101">
        <f t="shared" si="48"/>
        <v>0</v>
      </c>
    </row>
    <row r="102" spans="2:18" x14ac:dyDescent="0.3">
      <c r="Q102">
        <v>16</v>
      </c>
      <c r="R102">
        <f t="shared" si="48"/>
        <v>0</v>
      </c>
    </row>
    <row r="103" spans="2:18" x14ac:dyDescent="0.3">
      <c r="Q103">
        <v>17</v>
      </c>
      <c r="R103">
        <f t="shared" si="48"/>
        <v>0</v>
      </c>
    </row>
    <row r="104" spans="2:18" x14ac:dyDescent="0.3">
      <c r="Q104">
        <v>18</v>
      </c>
      <c r="R104">
        <f t="shared" si="48"/>
        <v>0</v>
      </c>
    </row>
    <row r="105" spans="2:18" x14ac:dyDescent="0.3">
      <c r="Q105">
        <v>19</v>
      </c>
      <c r="R105">
        <f t="shared" si="48"/>
        <v>0</v>
      </c>
    </row>
    <row r="106" spans="2:18" x14ac:dyDescent="0.3">
      <c r="Q106">
        <v>20</v>
      </c>
      <c r="R106">
        <f t="shared" si="48"/>
        <v>0</v>
      </c>
    </row>
  </sheetData>
  <phoneticPr fontId="2" type="noConversion"/>
  <conditionalFormatting sqref="B35:O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07E0-4AD7-419B-BCD7-4246746EB6E8}">
  <dimension ref="A1:T31"/>
  <sheetViews>
    <sheetView zoomScale="130" zoomScaleNormal="130" workbookViewId="0">
      <selection activeCell="I2" sqref="I2"/>
    </sheetView>
  </sheetViews>
  <sheetFormatPr baseColWidth="10" defaultRowHeight="14.4" x14ac:dyDescent="0.3"/>
  <cols>
    <col min="1" max="1" width="5.5546875" style="4" customWidth="1"/>
    <col min="2" max="2" width="5.5546875" customWidth="1"/>
    <col min="3" max="3" width="5.5546875" style="4" customWidth="1"/>
    <col min="4" max="4" width="5.5546875" customWidth="1"/>
    <col min="5" max="5" width="5.5546875" style="4" customWidth="1"/>
    <col min="6" max="6" width="5.5546875" customWidth="1"/>
    <col min="7" max="7" width="5.5546875" style="4" customWidth="1"/>
    <col min="8" max="8" width="5.5546875" customWidth="1"/>
    <col min="9" max="10" width="5.5546875" style="4" customWidth="1"/>
    <col min="11" max="11" width="5.5546875" customWidth="1"/>
    <col min="12" max="12" width="5.5546875" style="4" customWidth="1"/>
    <col min="13" max="13" width="5.5546875" customWidth="1"/>
    <col min="14" max="14" width="5.5546875" style="4" customWidth="1"/>
    <col min="15" max="15" width="5.5546875" customWidth="1"/>
    <col min="16" max="16" width="5.5546875" style="4" customWidth="1"/>
    <col min="17" max="17" width="5.5546875" customWidth="1"/>
    <col min="18" max="19" width="5.5546875" style="4" customWidth="1"/>
  </cols>
  <sheetData>
    <row r="1" spans="1:20" x14ac:dyDescent="0.3">
      <c r="A1" s="5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/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/>
      <c r="T1" s="8" t="s">
        <v>66</v>
      </c>
    </row>
    <row r="2" spans="1:20" s="5" customFormat="1" ht="13.8" customHeight="1" x14ac:dyDescent="0.3">
      <c r="A2" s="5">
        <v>1</v>
      </c>
      <c r="B2" s="5">
        <v>1</v>
      </c>
      <c r="C2" s="5">
        <v>2</v>
      </c>
      <c r="D2" s="5" t="s">
        <v>99</v>
      </c>
      <c r="E2" s="5">
        <v>1</v>
      </c>
      <c r="F2" s="5">
        <v>1</v>
      </c>
      <c r="G2" s="5" t="s">
        <v>99</v>
      </c>
      <c r="H2" s="5">
        <v>1</v>
      </c>
      <c r="I2" s="5">
        <v>2</v>
      </c>
      <c r="K2" s="5">
        <v>1</v>
      </c>
      <c r="L2" s="5" t="s">
        <v>99</v>
      </c>
      <c r="M2" s="5" t="s">
        <v>99</v>
      </c>
      <c r="N2" s="5">
        <v>1</v>
      </c>
      <c r="O2" s="5">
        <v>1</v>
      </c>
      <c r="P2" s="5">
        <v>2</v>
      </c>
      <c r="Q2" s="5">
        <v>1</v>
      </c>
      <c r="R2" s="5" t="s">
        <v>99</v>
      </c>
      <c r="T2" s="5">
        <v>1</v>
      </c>
    </row>
    <row r="3" spans="1:20" s="5" customFormat="1" ht="13.8" customHeight="1" x14ac:dyDescent="0.3">
      <c r="A3" s="5">
        <v>2</v>
      </c>
      <c r="B3" s="5">
        <v>2</v>
      </c>
      <c r="C3" s="5">
        <v>2</v>
      </c>
      <c r="D3" s="5">
        <v>2</v>
      </c>
      <c r="E3" s="5">
        <v>2</v>
      </c>
      <c r="F3" s="5">
        <v>2</v>
      </c>
      <c r="G3" s="5">
        <v>2</v>
      </c>
      <c r="H3" s="5">
        <v>2</v>
      </c>
      <c r="I3" s="5">
        <v>2</v>
      </c>
      <c r="K3" s="5">
        <v>2</v>
      </c>
      <c r="L3" s="5">
        <v>2</v>
      </c>
      <c r="M3" s="5">
        <v>2</v>
      </c>
      <c r="N3" s="5">
        <v>2</v>
      </c>
      <c r="O3" s="5">
        <v>2</v>
      </c>
      <c r="P3" s="5">
        <v>2</v>
      </c>
      <c r="Q3" s="5">
        <v>2</v>
      </c>
      <c r="R3" s="5">
        <v>2</v>
      </c>
      <c r="T3" s="5">
        <v>2</v>
      </c>
    </row>
    <row r="4" spans="1:20" s="5" customFormat="1" ht="13.8" customHeight="1" x14ac:dyDescent="0.3">
      <c r="A4" s="5">
        <v>3</v>
      </c>
      <c r="B4" s="5">
        <v>1</v>
      </c>
      <c r="C4" s="5">
        <v>2</v>
      </c>
      <c r="D4" s="5">
        <v>2</v>
      </c>
      <c r="E4" s="5">
        <v>1</v>
      </c>
      <c r="F4" s="5" t="s">
        <v>99</v>
      </c>
      <c r="G4" s="5">
        <v>2</v>
      </c>
      <c r="H4" s="5">
        <v>1</v>
      </c>
      <c r="I4" s="5">
        <v>2</v>
      </c>
      <c r="K4" s="5">
        <v>1</v>
      </c>
      <c r="L4" s="5">
        <v>2</v>
      </c>
      <c r="M4" s="5">
        <v>2</v>
      </c>
      <c r="N4" s="5">
        <v>1</v>
      </c>
      <c r="O4" s="5">
        <v>2</v>
      </c>
      <c r="P4" s="5">
        <v>1</v>
      </c>
      <c r="Q4" s="5">
        <v>2</v>
      </c>
      <c r="R4" s="5" t="s">
        <v>99</v>
      </c>
      <c r="T4" s="5">
        <v>2</v>
      </c>
    </row>
    <row r="5" spans="1:20" s="5" customFormat="1" ht="13.8" customHeight="1" x14ac:dyDescent="0.3">
      <c r="A5" s="5">
        <v>4</v>
      </c>
      <c r="B5" s="5" t="s">
        <v>99</v>
      </c>
      <c r="C5" s="5">
        <v>1</v>
      </c>
      <c r="D5" s="5" t="s">
        <v>99</v>
      </c>
      <c r="E5" s="5">
        <v>1</v>
      </c>
      <c r="F5" s="5">
        <v>2</v>
      </c>
      <c r="G5" s="5" t="s">
        <v>99</v>
      </c>
      <c r="H5" s="5" t="s">
        <v>99</v>
      </c>
      <c r="I5" s="5">
        <v>1</v>
      </c>
      <c r="K5" s="5" t="s">
        <v>99</v>
      </c>
      <c r="L5" s="5" t="s">
        <v>99</v>
      </c>
      <c r="M5" s="5">
        <v>1</v>
      </c>
      <c r="N5" s="5" t="s">
        <v>99</v>
      </c>
      <c r="O5" s="5">
        <v>2</v>
      </c>
      <c r="P5" s="5">
        <v>2</v>
      </c>
      <c r="Q5" s="5">
        <v>2</v>
      </c>
      <c r="R5" s="5" t="s">
        <v>99</v>
      </c>
      <c r="T5" s="5" t="s">
        <v>99</v>
      </c>
    </row>
    <row r="6" spans="1:20" s="5" customFormat="1" ht="13.8" customHeight="1" x14ac:dyDescent="0.3">
      <c r="A6" s="7">
        <v>5</v>
      </c>
      <c r="B6" s="7">
        <v>2</v>
      </c>
      <c r="C6" s="7" t="s">
        <v>99</v>
      </c>
      <c r="D6" s="7">
        <v>2</v>
      </c>
      <c r="E6" s="7" t="s">
        <v>99</v>
      </c>
      <c r="F6" s="7">
        <v>2</v>
      </c>
      <c r="G6" s="7" t="s">
        <v>99</v>
      </c>
      <c r="H6" s="7" t="s">
        <v>99</v>
      </c>
      <c r="I6" s="7">
        <v>2</v>
      </c>
      <c r="J6" s="7"/>
      <c r="K6" s="7">
        <v>2</v>
      </c>
      <c r="L6" s="7" t="s">
        <v>99</v>
      </c>
      <c r="M6" s="7">
        <v>1</v>
      </c>
      <c r="N6" s="7">
        <v>2</v>
      </c>
      <c r="O6" s="7">
        <v>1</v>
      </c>
      <c r="P6" s="7">
        <v>2</v>
      </c>
      <c r="Q6" s="7">
        <v>2</v>
      </c>
      <c r="R6" s="7" t="s">
        <v>99</v>
      </c>
      <c r="S6" s="7"/>
      <c r="T6" s="7">
        <v>2</v>
      </c>
    </row>
    <row r="7" spans="1:20" s="5" customFormat="1" ht="13.8" customHeight="1" x14ac:dyDescent="0.3">
      <c r="A7" s="7">
        <v>6</v>
      </c>
      <c r="B7" s="7">
        <v>1</v>
      </c>
      <c r="C7" s="7">
        <v>2</v>
      </c>
      <c r="D7" s="7" t="s">
        <v>99</v>
      </c>
      <c r="E7" s="7">
        <v>1</v>
      </c>
      <c r="F7" s="7" t="s">
        <v>99</v>
      </c>
      <c r="G7" s="7">
        <v>1</v>
      </c>
      <c r="H7" s="7">
        <v>1</v>
      </c>
      <c r="I7" s="7">
        <v>2</v>
      </c>
      <c r="J7" s="7"/>
      <c r="K7" s="7" t="s">
        <v>99</v>
      </c>
      <c r="L7" s="7">
        <v>2</v>
      </c>
      <c r="M7" s="7">
        <v>1</v>
      </c>
      <c r="N7" s="7">
        <v>1</v>
      </c>
      <c r="O7" s="7">
        <v>1</v>
      </c>
      <c r="P7" s="7" t="s">
        <v>99</v>
      </c>
      <c r="Q7" s="7" t="s">
        <v>99</v>
      </c>
      <c r="R7" s="7">
        <v>1</v>
      </c>
      <c r="S7" s="7"/>
      <c r="T7" s="7">
        <v>1</v>
      </c>
    </row>
    <row r="8" spans="1:20" s="5" customFormat="1" ht="13.8" customHeight="1" x14ac:dyDescent="0.3">
      <c r="A8" s="7">
        <v>7</v>
      </c>
      <c r="B8" s="7" t="s">
        <v>99</v>
      </c>
      <c r="C8" s="7">
        <v>1</v>
      </c>
      <c r="D8" s="7">
        <v>1</v>
      </c>
      <c r="E8" s="7">
        <v>1</v>
      </c>
      <c r="F8" s="7" t="s">
        <v>99</v>
      </c>
      <c r="G8" s="7" t="s">
        <v>99</v>
      </c>
      <c r="H8" s="7">
        <v>1</v>
      </c>
      <c r="I8" s="7">
        <v>2</v>
      </c>
      <c r="J8" s="7"/>
      <c r="K8" s="7">
        <v>2</v>
      </c>
      <c r="L8" s="7">
        <v>1</v>
      </c>
      <c r="M8" s="7">
        <v>1</v>
      </c>
      <c r="N8" s="7">
        <v>2</v>
      </c>
      <c r="O8" s="7">
        <v>1</v>
      </c>
      <c r="P8" s="7" t="s">
        <v>99</v>
      </c>
      <c r="Q8" s="7">
        <v>2</v>
      </c>
      <c r="R8" s="7">
        <v>1</v>
      </c>
      <c r="S8" s="7"/>
      <c r="T8" s="7">
        <v>1</v>
      </c>
    </row>
    <row r="9" spans="1:20" s="5" customFormat="1" ht="13.8" customHeight="1" x14ac:dyDescent="0.3">
      <c r="A9" s="7">
        <v>8</v>
      </c>
      <c r="B9" s="7">
        <v>1</v>
      </c>
      <c r="C9" s="7" t="s">
        <v>99</v>
      </c>
      <c r="D9" s="7" t="s">
        <v>99</v>
      </c>
      <c r="E9" s="7">
        <v>1</v>
      </c>
      <c r="F9" s="7">
        <v>1</v>
      </c>
      <c r="G9" s="7" t="s">
        <v>99</v>
      </c>
      <c r="H9" s="7">
        <v>1</v>
      </c>
      <c r="I9" s="7">
        <v>2</v>
      </c>
      <c r="J9" s="7"/>
      <c r="K9" s="7">
        <v>1</v>
      </c>
      <c r="L9" s="7">
        <v>2</v>
      </c>
      <c r="M9" s="7">
        <v>1</v>
      </c>
      <c r="N9" s="7" t="s">
        <v>99</v>
      </c>
      <c r="O9" s="7">
        <v>1</v>
      </c>
      <c r="P9" s="7">
        <v>2</v>
      </c>
      <c r="Q9" s="7">
        <v>2</v>
      </c>
      <c r="R9" s="7">
        <v>1</v>
      </c>
      <c r="S9" s="7"/>
      <c r="T9" s="7">
        <v>1</v>
      </c>
    </row>
    <row r="10" spans="1:20" s="5" customFormat="1" ht="13.8" customHeight="1" x14ac:dyDescent="0.3">
      <c r="A10" s="5">
        <v>9</v>
      </c>
      <c r="B10" s="5" t="s">
        <v>99</v>
      </c>
      <c r="C10" s="5">
        <v>2</v>
      </c>
      <c r="D10" s="5">
        <v>1</v>
      </c>
      <c r="E10" s="5" t="s">
        <v>99</v>
      </c>
      <c r="F10" s="5">
        <v>2</v>
      </c>
      <c r="G10" s="5" t="s">
        <v>99</v>
      </c>
      <c r="H10" s="5">
        <v>2</v>
      </c>
      <c r="I10" s="5">
        <v>2</v>
      </c>
      <c r="K10" s="5">
        <v>2</v>
      </c>
      <c r="L10" s="5" t="s">
        <v>99</v>
      </c>
      <c r="M10" s="5">
        <v>2</v>
      </c>
      <c r="N10" s="5" t="s">
        <v>99</v>
      </c>
      <c r="O10" s="5">
        <v>2</v>
      </c>
      <c r="P10" s="5">
        <v>1</v>
      </c>
      <c r="Q10" s="5" t="s">
        <v>99</v>
      </c>
      <c r="R10" s="5">
        <v>2</v>
      </c>
      <c r="T10" s="5">
        <v>2</v>
      </c>
    </row>
    <row r="11" spans="1:20" s="5" customFormat="1" ht="13.8" customHeight="1" x14ac:dyDescent="0.3">
      <c r="A11" s="5">
        <v>10</v>
      </c>
      <c r="B11" s="5">
        <v>2</v>
      </c>
      <c r="C11" s="5">
        <v>2</v>
      </c>
      <c r="D11" s="5">
        <v>2</v>
      </c>
      <c r="E11" s="5">
        <v>2</v>
      </c>
      <c r="F11" s="5">
        <v>2</v>
      </c>
      <c r="G11" s="5">
        <v>2</v>
      </c>
      <c r="H11" s="5">
        <v>2</v>
      </c>
      <c r="I11" s="5">
        <v>2</v>
      </c>
      <c r="K11" s="5">
        <v>2</v>
      </c>
      <c r="L11" s="5">
        <v>2</v>
      </c>
      <c r="M11" s="5">
        <v>2</v>
      </c>
      <c r="N11" s="5">
        <v>2</v>
      </c>
      <c r="O11" s="5">
        <v>2</v>
      </c>
      <c r="P11" s="5">
        <v>2</v>
      </c>
      <c r="Q11" s="5">
        <v>2</v>
      </c>
      <c r="R11" s="5">
        <v>2</v>
      </c>
      <c r="T11" s="5">
        <v>2</v>
      </c>
    </row>
    <row r="12" spans="1:20" s="5" customFormat="1" ht="13.8" customHeight="1" x14ac:dyDescent="0.3">
      <c r="A12" s="5">
        <v>11</v>
      </c>
      <c r="B12" s="5" t="s">
        <v>99</v>
      </c>
      <c r="C12" s="5" t="s">
        <v>99</v>
      </c>
      <c r="D12" s="5">
        <v>1</v>
      </c>
      <c r="E12" s="5">
        <v>1</v>
      </c>
      <c r="F12" s="5">
        <v>2</v>
      </c>
      <c r="G12" s="5">
        <v>1</v>
      </c>
      <c r="H12" s="5">
        <v>1</v>
      </c>
      <c r="I12" s="5" t="s">
        <v>99</v>
      </c>
      <c r="K12" s="5">
        <v>2</v>
      </c>
      <c r="L12" s="5">
        <v>1</v>
      </c>
      <c r="M12" s="5">
        <v>2</v>
      </c>
      <c r="N12" s="5">
        <v>1</v>
      </c>
      <c r="O12" s="5" t="s">
        <v>99</v>
      </c>
      <c r="P12" s="5">
        <v>1</v>
      </c>
      <c r="Q12" s="5">
        <v>1</v>
      </c>
      <c r="R12" s="5" t="s">
        <v>99</v>
      </c>
      <c r="T12" s="5">
        <v>1</v>
      </c>
    </row>
    <row r="13" spans="1:20" s="5" customFormat="1" ht="13.8" customHeight="1" x14ac:dyDescent="0.3">
      <c r="A13" s="7">
        <v>12</v>
      </c>
      <c r="B13" s="7" t="s">
        <v>99</v>
      </c>
      <c r="C13" s="7">
        <v>2</v>
      </c>
      <c r="D13" s="7">
        <v>1</v>
      </c>
      <c r="E13" s="7">
        <v>2</v>
      </c>
      <c r="F13" s="7">
        <v>2</v>
      </c>
      <c r="G13" s="7">
        <v>2</v>
      </c>
      <c r="H13" s="7">
        <v>1</v>
      </c>
      <c r="I13" s="7">
        <v>2</v>
      </c>
      <c r="J13" s="7"/>
      <c r="K13" s="7" t="s">
        <v>99</v>
      </c>
      <c r="L13" s="7">
        <v>1</v>
      </c>
      <c r="M13" s="7">
        <v>2</v>
      </c>
      <c r="N13" s="7">
        <v>1</v>
      </c>
      <c r="O13" s="7">
        <v>1</v>
      </c>
      <c r="P13" s="7">
        <v>2</v>
      </c>
      <c r="Q13" s="7" t="s">
        <v>99</v>
      </c>
      <c r="R13" s="7">
        <v>2</v>
      </c>
      <c r="S13" s="7"/>
      <c r="T13" s="7">
        <v>2</v>
      </c>
    </row>
    <row r="14" spans="1:20" s="5" customFormat="1" ht="13.8" customHeight="1" x14ac:dyDescent="0.3">
      <c r="A14" s="7">
        <v>13</v>
      </c>
      <c r="B14" s="7" t="s">
        <v>99</v>
      </c>
      <c r="C14" s="7">
        <v>2</v>
      </c>
      <c r="D14" s="7">
        <v>1</v>
      </c>
      <c r="E14" s="7">
        <v>2</v>
      </c>
      <c r="F14" s="7">
        <v>2</v>
      </c>
      <c r="G14" s="7">
        <v>1</v>
      </c>
      <c r="H14" s="7">
        <v>1</v>
      </c>
      <c r="I14" s="7">
        <v>2</v>
      </c>
      <c r="J14" s="7"/>
      <c r="K14" s="7" t="s">
        <v>99</v>
      </c>
      <c r="L14" s="7">
        <v>2</v>
      </c>
      <c r="M14" s="7" t="s">
        <v>99</v>
      </c>
      <c r="N14" s="7">
        <v>2</v>
      </c>
      <c r="O14" s="7">
        <v>1</v>
      </c>
      <c r="P14" s="7">
        <v>2</v>
      </c>
      <c r="Q14" s="7">
        <v>2</v>
      </c>
      <c r="R14" s="7" t="s">
        <v>99</v>
      </c>
      <c r="S14" s="7"/>
      <c r="T14" s="7">
        <v>2</v>
      </c>
    </row>
    <row r="15" spans="1:20" s="5" customFormat="1" ht="13.8" customHeight="1" x14ac:dyDescent="0.3">
      <c r="A15" s="7">
        <v>14</v>
      </c>
      <c r="B15" s="7">
        <v>2</v>
      </c>
      <c r="C15" s="7">
        <v>2</v>
      </c>
      <c r="D15" s="7">
        <v>2</v>
      </c>
      <c r="E15" s="7">
        <v>2</v>
      </c>
      <c r="F15" s="7">
        <v>2</v>
      </c>
      <c r="G15" s="7">
        <v>2</v>
      </c>
      <c r="H15" s="7">
        <v>2</v>
      </c>
      <c r="I15" s="7">
        <v>2</v>
      </c>
      <c r="J15" s="7"/>
      <c r="K15" s="7">
        <v>2</v>
      </c>
      <c r="L15" s="7">
        <v>2</v>
      </c>
      <c r="M15" s="7">
        <v>2</v>
      </c>
      <c r="N15" s="7">
        <v>2</v>
      </c>
      <c r="O15" s="7">
        <v>2</v>
      </c>
      <c r="P15" s="7">
        <v>2</v>
      </c>
      <c r="Q15" s="7">
        <v>2</v>
      </c>
      <c r="R15" s="7">
        <v>2</v>
      </c>
      <c r="S15" s="7"/>
      <c r="T15" s="7">
        <v>2</v>
      </c>
    </row>
    <row r="16" spans="1:20" s="5" customFormat="1" ht="13.8" customHeight="1" x14ac:dyDescent="0.3">
      <c r="A16" s="6"/>
      <c r="C16" s="6"/>
      <c r="E16" s="6"/>
      <c r="G16" s="6"/>
      <c r="I16" s="6"/>
      <c r="J16" s="6"/>
      <c r="L16" s="6"/>
      <c r="N16" s="6"/>
      <c r="P16" s="6"/>
      <c r="R16" s="6"/>
      <c r="S16" s="6"/>
    </row>
    <row r="17" spans="1:20" s="5" customFormat="1" ht="13.8" customHeight="1" x14ac:dyDescent="0.3">
      <c r="A17" s="6"/>
      <c r="B17" s="8">
        <v>17</v>
      </c>
      <c r="C17" s="8">
        <v>18</v>
      </c>
      <c r="D17" s="8">
        <v>19</v>
      </c>
      <c r="E17" s="8">
        <v>20</v>
      </c>
      <c r="F17" s="8">
        <v>21</v>
      </c>
      <c r="G17" s="8">
        <v>22</v>
      </c>
      <c r="H17" s="8">
        <v>23</v>
      </c>
      <c r="I17" s="8">
        <v>24</v>
      </c>
      <c r="J17" s="8"/>
      <c r="K17" s="8">
        <v>25</v>
      </c>
      <c r="L17" s="8">
        <v>26</v>
      </c>
      <c r="M17" s="8">
        <v>27</v>
      </c>
      <c r="N17" s="8">
        <v>28</v>
      </c>
      <c r="O17" s="8">
        <v>29</v>
      </c>
      <c r="P17" s="8">
        <v>30</v>
      </c>
      <c r="Q17" s="8">
        <v>31</v>
      </c>
      <c r="R17" s="8">
        <v>32</v>
      </c>
      <c r="S17" s="8"/>
      <c r="T17" s="8" t="s">
        <v>66</v>
      </c>
    </row>
    <row r="18" spans="1:20" s="5" customFormat="1" ht="13.8" customHeight="1" x14ac:dyDescent="0.3">
      <c r="A18" s="5">
        <v>1</v>
      </c>
      <c r="B18" s="5">
        <v>1</v>
      </c>
      <c r="C18" s="5">
        <v>2</v>
      </c>
      <c r="D18" s="5" t="s">
        <v>99</v>
      </c>
      <c r="E18" s="5">
        <v>2</v>
      </c>
      <c r="F18" s="5">
        <v>1</v>
      </c>
      <c r="G18" s="5">
        <v>1</v>
      </c>
      <c r="H18" s="5">
        <v>2</v>
      </c>
      <c r="I18" s="5">
        <v>1</v>
      </c>
      <c r="K18" s="5" t="s">
        <v>99</v>
      </c>
      <c r="L18" s="5">
        <v>1</v>
      </c>
      <c r="M18" s="5">
        <v>1</v>
      </c>
      <c r="N18" s="5">
        <v>1</v>
      </c>
      <c r="O18" s="5" t="s">
        <v>99</v>
      </c>
      <c r="P18" s="5">
        <v>2</v>
      </c>
      <c r="Q18" s="5" t="s">
        <v>99</v>
      </c>
      <c r="R18" s="5" t="s">
        <v>99</v>
      </c>
      <c r="T18" s="5">
        <v>1</v>
      </c>
    </row>
    <row r="19" spans="1:20" s="5" customFormat="1" ht="13.8" customHeight="1" x14ac:dyDescent="0.3">
      <c r="A19" s="5">
        <v>2</v>
      </c>
      <c r="B19" s="5">
        <v>2</v>
      </c>
      <c r="C19" s="5">
        <v>2</v>
      </c>
      <c r="D19" s="5">
        <v>2</v>
      </c>
      <c r="E19" s="5">
        <v>2</v>
      </c>
      <c r="F19" s="5">
        <v>2</v>
      </c>
      <c r="G19" s="5">
        <v>2</v>
      </c>
      <c r="H19" s="5">
        <v>2</v>
      </c>
      <c r="I19" s="5">
        <v>2</v>
      </c>
      <c r="K19" s="5">
        <v>2</v>
      </c>
      <c r="L19" s="5">
        <v>2</v>
      </c>
      <c r="M19" s="5">
        <v>2</v>
      </c>
      <c r="N19" s="5">
        <v>2</v>
      </c>
      <c r="O19" s="5">
        <v>2</v>
      </c>
      <c r="P19" s="5">
        <v>2</v>
      </c>
      <c r="Q19" s="5">
        <v>2</v>
      </c>
      <c r="R19" s="5">
        <v>2</v>
      </c>
      <c r="T19" s="5">
        <v>2</v>
      </c>
    </row>
    <row r="20" spans="1:20" s="5" customFormat="1" ht="13.8" customHeight="1" x14ac:dyDescent="0.3">
      <c r="A20" s="5">
        <v>3</v>
      </c>
      <c r="B20" s="5">
        <v>2</v>
      </c>
      <c r="C20" s="5">
        <v>1</v>
      </c>
      <c r="D20" s="5">
        <v>2</v>
      </c>
      <c r="E20" s="5" t="s">
        <v>99</v>
      </c>
      <c r="F20" s="5">
        <v>1</v>
      </c>
      <c r="G20" s="5" t="s">
        <v>99</v>
      </c>
      <c r="H20" s="5">
        <v>2</v>
      </c>
      <c r="I20" s="5">
        <v>2</v>
      </c>
      <c r="K20" s="5">
        <v>1</v>
      </c>
      <c r="L20" s="5" t="s">
        <v>99</v>
      </c>
      <c r="M20" s="5" t="s">
        <v>99</v>
      </c>
      <c r="N20" s="5">
        <v>2</v>
      </c>
      <c r="O20" s="5" t="s">
        <v>99</v>
      </c>
      <c r="P20" s="5">
        <v>2</v>
      </c>
      <c r="Q20" s="5">
        <v>1</v>
      </c>
      <c r="R20" s="5" t="s">
        <v>99</v>
      </c>
      <c r="T20" s="5">
        <v>2</v>
      </c>
    </row>
    <row r="21" spans="1:20" s="5" customFormat="1" ht="13.8" customHeight="1" x14ac:dyDescent="0.3">
      <c r="A21" s="5">
        <v>4</v>
      </c>
      <c r="B21" s="5" t="s">
        <v>99</v>
      </c>
      <c r="C21" s="5" t="s">
        <v>99</v>
      </c>
      <c r="D21" s="5">
        <v>1</v>
      </c>
      <c r="E21" s="5">
        <v>1</v>
      </c>
      <c r="F21" s="5">
        <v>2</v>
      </c>
      <c r="G21" s="5">
        <v>1</v>
      </c>
      <c r="H21" s="5" t="s">
        <v>99</v>
      </c>
      <c r="I21" s="5">
        <v>1</v>
      </c>
      <c r="K21" s="5" t="s">
        <v>99</v>
      </c>
      <c r="L21" s="5">
        <v>2</v>
      </c>
      <c r="M21" s="5">
        <v>1</v>
      </c>
      <c r="N21" s="5">
        <v>2</v>
      </c>
      <c r="O21" s="5">
        <v>2</v>
      </c>
      <c r="P21" s="5" t="s">
        <v>99</v>
      </c>
      <c r="Q21" s="5">
        <v>1</v>
      </c>
      <c r="R21" s="5">
        <v>2</v>
      </c>
      <c r="T21" s="5" t="s">
        <v>99</v>
      </c>
    </row>
    <row r="22" spans="1:20" s="5" customFormat="1" ht="13.8" customHeight="1" x14ac:dyDescent="0.3">
      <c r="A22" s="7">
        <v>5</v>
      </c>
      <c r="B22" s="7">
        <v>1</v>
      </c>
      <c r="C22" s="7">
        <v>2</v>
      </c>
      <c r="D22" s="7">
        <v>2</v>
      </c>
      <c r="E22" s="7">
        <v>1</v>
      </c>
      <c r="F22" s="7" t="s">
        <v>99</v>
      </c>
      <c r="G22" s="7">
        <v>2</v>
      </c>
      <c r="H22" s="7">
        <v>1</v>
      </c>
      <c r="I22" s="7">
        <v>2</v>
      </c>
      <c r="J22" s="7"/>
      <c r="K22" s="7" t="s">
        <v>99</v>
      </c>
      <c r="L22" s="7">
        <v>2</v>
      </c>
      <c r="M22" s="7" t="s">
        <v>99</v>
      </c>
      <c r="N22" s="7">
        <v>1</v>
      </c>
      <c r="O22" s="7">
        <v>1</v>
      </c>
      <c r="P22" s="7">
        <v>2</v>
      </c>
      <c r="Q22" s="7">
        <v>2</v>
      </c>
      <c r="R22" s="7">
        <v>2</v>
      </c>
      <c r="S22" s="7"/>
      <c r="T22" s="7">
        <v>2</v>
      </c>
    </row>
    <row r="23" spans="1:20" s="5" customFormat="1" ht="13.8" customHeight="1" x14ac:dyDescent="0.3">
      <c r="A23" s="7">
        <v>6</v>
      </c>
      <c r="B23" s="7" t="s">
        <v>99</v>
      </c>
      <c r="C23" s="7">
        <v>1</v>
      </c>
      <c r="D23" s="7">
        <v>2</v>
      </c>
      <c r="E23" s="7">
        <v>1</v>
      </c>
      <c r="F23" s="7" t="s">
        <v>99</v>
      </c>
      <c r="G23" s="7">
        <v>1</v>
      </c>
      <c r="H23" s="7">
        <v>2</v>
      </c>
      <c r="I23" s="7">
        <v>1</v>
      </c>
      <c r="J23" s="7"/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/>
      <c r="T23" s="7">
        <v>1</v>
      </c>
    </row>
    <row r="24" spans="1:20" s="5" customFormat="1" ht="13.8" customHeight="1" x14ac:dyDescent="0.3">
      <c r="A24" s="7">
        <v>7</v>
      </c>
      <c r="B24" s="7">
        <v>1</v>
      </c>
      <c r="C24" s="7" t="s">
        <v>99</v>
      </c>
      <c r="D24" s="7">
        <v>1</v>
      </c>
      <c r="E24" s="7" t="s">
        <v>99</v>
      </c>
      <c r="F24" s="7" t="s">
        <v>99</v>
      </c>
      <c r="G24" s="7">
        <v>2</v>
      </c>
      <c r="H24" s="7">
        <v>1</v>
      </c>
      <c r="I24" s="7">
        <v>2</v>
      </c>
      <c r="J24" s="7"/>
      <c r="K24" s="7" t="s">
        <v>99</v>
      </c>
      <c r="L24" s="7">
        <v>2</v>
      </c>
      <c r="M24" s="7">
        <v>1</v>
      </c>
      <c r="N24" s="7" t="s">
        <v>99</v>
      </c>
      <c r="O24" s="7" t="s">
        <v>99</v>
      </c>
      <c r="P24" s="7">
        <v>2</v>
      </c>
      <c r="Q24" s="7" t="s">
        <v>99</v>
      </c>
      <c r="R24" s="7">
        <v>1</v>
      </c>
      <c r="S24" s="7"/>
      <c r="T24" s="7">
        <v>1</v>
      </c>
    </row>
    <row r="25" spans="1:20" s="5" customFormat="1" ht="13.8" customHeight="1" x14ac:dyDescent="0.3">
      <c r="A25" s="7">
        <v>8</v>
      </c>
      <c r="B25" s="7">
        <v>1</v>
      </c>
      <c r="C25" s="7">
        <v>2</v>
      </c>
      <c r="D25" s="7" t="s">
        <v>99</v>
      </c>
      <c r="E25" s="7">
        <v>1</v>
      </c>
      <c r="F25" s="7">
        <v>1</v>
      </c>
      <c r="G25" s="7" t="s">
        <v>99</v>
      </c>
      <c r="H25" s="7">
        <v>1</v>
      </c>
      <c r="I25" s="7">
        <v>2</v>
      </c>
      <c r="J25" s="7"/>
      <c r="K25" s="7">
        <v>1</v>
      </c>
      <c r="L25" s="7" t="s">
        <v>99</v>
      </c>
      <c r="M25" s="7">
        <v>2</v>
      </c>
      <c r="N25" s="7">
        <v>2</v>
      </c>
      <c r="O25" s="7">
        <v>1</v>
      </c>
      <c r="P25" s="7" t="s">
        <v>99</v>
      </c>
      <c r="Q25" s="7">
        <v>1</v>
      </c>
      <c r="R25" s="7" t="s">
        <v>99</v>
      </c>
      <c r="S25" s="7"/>
      <c r="T25" s="7">
        <v>1</v>
      </c>
    </row>
    <row r="26" spans="1:20" s="5" customFormat="1" ht="13.8" customHeight="1" x14ac:dyDescent="0.3">
      <c r="A26" s="5">
        <v>9</v>
      </c>
      <c r="B26" s="5">
        <v>2</v>
      </c>
      <c r="C26" s="5">
        <v>1</v>
      </c>
      <c r="D26" s="5">
        <v>1</v>
      </c>
      <c r="E26" s="5">
        <v>2</v>
      </c>
      <c r="F26" s="5">
        <v>2</v>
      </c>
      <c r="G26" s="5">
        <v>1</v>
      </c>
      <c r="H26" s="5">
        <v>2</v>
      </c>
      <c r="I26" s="5">
        <v>2</v>
      </c>
      <c r="K26" s="5">
        <v>2</v>
      </c>
      <c r="L26" s="5">
        <v>2</v>
      </c>
      <c r="M26" s="5">
        <v>2</v>
      </c>
      <c r="N26" s="5">
        <v>2</v>
      </c>
      <c r="O26" s="5">
        <v>2</v>
      </c>
      <c r="P26" s="5">
        <v>2</v>
      </c>
      <c r="Q26" s="5">
        <v>2</v>
      </c>
      <c r="R26" s="5">
        <v>2</v>
      </c>
      <c r="T26" s="5">
        <v>2</v>
      </c>
    </row>
    <row r="27" spans="1:20" s="5" customFormat="1" ht="13.8" customHeight="1" x14ac:dyDescent="0.3">
      <c r="A27" s="5">
        <v>10</v>
      </c>
      <c r="B27" s="5">
        <v>2</v>
      </c>
      <c r="C27" s="5">
        <v>2</v>
      </c>
      <c r="D27" s="5">
        <v>2</v>
      </c>
      <c r="E27" s="5">
        <v>2</v>
      </c>
      <c r="F27" s="5">
        <v>2</v>
      </c>
      <c r="G27" s="5">
        <v>2</v>
      </c>
      <c r="H27" s="5">
        <v>2</v>
      </c>
      <c r="I27" s="5">
        <v>2</v>
      </c>
      <c r="K27" s="5">
        <v>2</v>
      </c>
      <c r="L27" s="5">
        <v>2</v>
      </c>
      <c r="M27" s="5">
        <v>2</v>
      </c>
      <c r="N27" s="5">
        <v>2</v>
      </c>
      <c r="O27" s="5">
        <v>2</v>
      </c>
      <c r="P27" s="5">
        <v>2</v>
      </c>
      <c r="Q27" s="5">
        <v>2</v>
      </c>
      <c r="R27" s="5">
        <v>2</v>
      </c>
      <c r="T27" s="5">
        <v>2</v>
      </c>
    </row>
    <row r="28" spans="1:20" s="5" customFormat="1" ht="13.8" customHeight="1" x14ac:dyDescent="0.3">
      <c r="A28" s="5">
        <v>11</v>
      </c>
      <c r="B28" s="5">
        <v>2</v>
      </c>
      <c r="C28" s="5">
        <v>1</v>
      </c>
      <c r="D28" s="5">
        <v>1</v>
      </c>
      <c r="E28" s="5" t="s">
        <v>99</v>
      </c>
      <c r="F28" s="5">
        <v>2</v>
      </c>
      <c r="G28" s="5">
        <v>1</v>
      </c>
      <c r="H28" s="5">
        <v>2</v>
      </c>
      <c r="I28" s="5" t="s">
        <v>99</v>
      </c>
      <c r="K28" s="5" t="s">
        <v>99</v>
      </c>
      <c r="L28" s="5" t="s">
        <v>99</v>
      </c>
      <c r="M28" s="5">
        <v>2</v>
      </c>
      <c r="N28" s="5">
        <v>1</v>
      </c>
      <c r="O28" s="5">
        <v>1</v>
      </c>
      <c r="P28" s="5" t="s">
        <v>99</v>
      </c>
      <c r="Q28" s="5">
        <v>1</v>
      </c>
      <c r="R28" s="5">
        <v>1</v>
      </c>
      <c r="T28" s="5">
        <v>1</v>
      </c>
    </row>
    <row r="29" spans="1:20" s="5" customFormat="1" ht="13.8" customHeight="1" x14ac:dyDescent="0.3">
      <c r="A29" s="7">
        <v>12</v>
      </c>
      <c r="B29" s="7">
        <v>2</v>
      </c>
      <c r="C29" s="7">
        <v>1</v>
      </c>
      <c r="D29" s="7" t="s">
        <v>99</v>
      </c>
      <c r="E29" s="7">
        <v>2</v>
      </c>
      <c r="F29" s="7">
        <v>2</v>
      </c>
      <c r="G29" s="7">
        <v>1</v>
      </c>
      <c r="H29" s="7" t="s">
        <v>99</v>
      </c>
      <c r="I29" s="7">
        <v>1</v>
      </c>
      <c r="J29" s="7"/>
      <c r="K29" s="7">
        <v>2</v>
      </c>
      <c r="L29" s="7">
        <v>2</v>
      </c>
      <c r="M29" s="7">
        <v>1</v>
      </c>
      <c r="N29" s="7" t="s">
        <v>99</v>
      </c>
      <c r="O29" s="7">
        <v>2</v>
      </c>
      <c r="P29" s="7" t="s">
        <v>99</v>
      </c>
      <c r="Q29" s="7" t="s">
        <v>99</v>
      </c>
      <c r="R29" s="7" t="s">
        <v>99</v>
      </c>
      <c r="S29" s="7"/>
      <c r="T29" s="7">
        <v>2</v>
      </c>
    </row>
    <row r="30" spans="1:20" s="5" customFormat="1" ht="13.8" customHeight="1" x14ac:dyDescent="0.3">
      <c r="A30" s="7">
        <v>13</v>
      </c>
      <c r="B30" s="7" t="s">
        <v>99</v>
      </c>
      <c r="C30" s="7" t="s">
        <v>99</v>
      </c>
      <c r="D30" s="7">
        <v>2</v>
      </c>
      <c r="E30" s="7">
        <v>2</v>
      </c>
      <c r="F30" s="7" t="s">
        <v>99</v>
      </c>
      <c r="G30" s="7">
        <v>2</v>
      </c>
      <c r="H30" s="7" t="s">
        <v>99</v>
      </c>
      <c r="I30" s="7" t="s">
        <v>99</v>
      </c>
      <c r="J30" s="7"/>
      <c r="K30" s="7">
        <v>1</v>
      </c>
      <c r="L30" s="7" t="s">
        <v>99</v>
      </c>
      <c r="M30" s="7">
        <v>2</v>
      </c>
      <c r="N30" s="7" t="s">
        <v>99</v>
      </c>
      <c r="O30" s="7" t="s">
        <v>99</v>
      </c>
      <c r="P30" s="7">
        <v>1</v>
      </c>
      <c r="Q30" s="7">
        <v>1</v>
      </c>
      <c r="R30" s="7">
        <v>1</v>
      </c>
      <c r="S30" s="7"/>
      <c r="T30" s="7">
        <v>2</v>
      </c>
    </row>
    <row r="31" spans="1:20" s="5" customFormat="1" ht="13.8" customHeight="1" x14ac:dyDescent="0.3">
      <c r="A31" s="7">
        <v>14</v>
      </c>
      <c r="B31" s="7">
        <v>2</v>
      </c>
      <c r="C31" s="7">
        <v>2</v>
      </c>
      <c r="D31" s="7">
        <v>2</v>
      </c>
      <c r="E31" s="7">
        <v>2</v>
      </c>
      <c r="F31" s="7">
        <v>2</v>
      </c>
      <c r="G31" s="7">
        <v>2</v>
      </c>
      <c r="H31" s="7">
        <v>2</v>
      </c>
      <c r="I31" s="7">
        <v>2</v>
      </c>
      <c r="J31" s="7"/>
      <c r="K31" s="7">
        <v>2</v>
      </c>
      <c r="L31" s="7">
        <v>2</v>
      </c>
      <c r="M31" s="7">
        <v>2</v>
      </c>
      <c r="N31" s="7">
        <v>2</v>
      </c>
      <c r="O31" s="7">
        <v>2</v>
      </c>
      <c r="P31" s="7">
        <v>2</v>
      </c>
      <c r="Q31" s="7">
        <v>2</v>
      </c>
      <c r="R31" s="7">
        <v>2</v>
      </c>
      <c r="S31" s="7"/>
      <c r="T31" s="7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Sheet1</vt:lpstr>
      <vt:lpstr>Hoja1</vt:lpstr>
      <vt:lpstr>AP8</vt:lpstr>
      <vt:lpstr>AP16</vt:lpstr>
      <vt:lpstr>AP24</vt:lpstr>
      <vt:lpstr>AP32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Ismael Jimenez Vaquero</cp:lastModifiedBy>
  <dcterms:created xsi:type="dcterms:W3CDTF">2026-05-26T11:56:38Z</dcterms:created>
  <dcterms:modified xsi:type="dcterms:W3CDTF">2026-06-29T12:45:27Z</dcterms:modified>
</cp:coreProperties>
</file>